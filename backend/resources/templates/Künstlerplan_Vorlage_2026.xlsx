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tuigroup.sharepoint.com/sites/CNET_SPA_JD_ENT/Freigegebene Dokumente/Dienstpläne/Künstlerplan/2026/"/>
    </mc:Choice>
  </mc:AlternateContent>
  <xr:revisionPtr revIDLastSave="2098" documentId="8_{5A279A26-0EEB-432F-B565-DF66C7D32687}" xr6:coauthVersionLast="47" xr6:coauthVersionMax="47" xr10:uidLastSave="{4BFBB827-6D8A-4E59-B44D-FF0ED6250851}"/>
  <bookViews>
    <workbookView xWindow="28680" yWindow="-1575" windowWidth="29040" windowHeight="15720" firstSheet="25" activeTab="30" xr2:uid="{4DC25338-331E-4485-8B83-2927CC6B2227}"/>
  </bookViews>
  <sheets>
    <sheet name="KW 51_15.12-21.12" sheetId="1" r:id="rId1"/>
    <sheet name="KW 02_12.01.-18.01" sheetId="2" r:id="rId2"/>
    <sheet name="KW 03_19.01.-25.01" sheetId="4" r:id="rId3"/>
    <sheet name="KW_04_ Jandia Unique" sheetId="5" r:id="rId4"/>
    <sheet name="KW 06_02.02.-08.02" sheetId="6" r:id="rId5"/>
    <sheet name="KW 07_09.02.-15.02" sheetId="12" r:id="rId6"/>
    <sheet name="KW 08_16.02.-22.02" sheetId="13" r:id="rId7"/>
    <sheet name="KW 09_23.02.-01.03" sheetId="7" r:id="rId8"/>
    <sheet name="KW 10_02.03.-08.03" sheetId="14" r:id="rId9"/>
    <sheet name="KW 11_Fact Week" sheetId="15" r:id="rId10"/>
    <sheet name="KW 12_16.03.-22.03" sheetId="16" r:id="rId11"/>
    <sheet name="KW 13_23.03.-29.03" sheetId="17" r:id="rId12"/>
    <sheet name="KW 14_Ostern" sheetId="18" r:id="rId13"/>
    <sheet name="KW 15_06.04.-12.04." sheetId="19" r:id="rId14"/>
    <sheet name="KW 16_13.04.-19.04." sheetId="20" r:id="rId15"/>
    <sheet name="KW 17_20.04.-26.04" sheetId="21" r:id="rId16"/>
    <sheet name="KW 18_27.04.-03.05." sheetId="23" r:id="rId17"/>
    <sheet name="KW 19_04.05.-10.05" sheetId="24" r:id="rId18"/>
    <sheet name="KW 20_11.05.-17.05" sheetId="25" r:id="rId19"/>
    <sheet name="KW 21_18.05.-24.05" sheetId="26" r:id="rId20"/>
    <sheet name="KW 22_25.05.-31.05" sheetId="27" r:id="rId21"/>
    <sheet name="KW 23_01.06.-07.06" sheetId="28" r:id="rId22"/>
    <sheet name="KW 24_FdK" sheetId="29" r:id="rId23"/>
    <sheet name="KW 25_15.06.-21.06" sheetId="30" r:id="rId24"/>
    <sheet name="KW 26_22.06.-28.06" sheetId="31" r:id="rId25"/>
    <sheet name="KW 27_29.06.-05.07" sheetId="32" r:id="rId26"/>
    <sheet name="KW 28_06.07.-12.07" sheetId="33" r:id="rId27"/>
    <sheet name="KW29_13.07-19.07" sheetId="34" r:id="rId28"/>
    <sheet name="KW 30_20.07.-26.07" sheetId="35" r:id="rId29"/>
    <sheet name="KW 31_27.07-.02.08" sheetId="36" r:id="rId30"/>
    <sheet name="KW 32_03.08-.09.08" sheetId="37" r:id="rId31"/>
  </sheets>
  <definedNames>
    <definedName name="Print_Area" localSheetId="1">'KW 02_12.01.-18.01'!$A$1:$H$18</definedName>
    <definedName name="Print_Area" localSheetId="2">'KW 03_19.01.-25.01'!$A$1:$H$18</definedName>
    <definedName name="Print_Area" localSheetId="4">'KW 06_02.02.-08.02'!$A$1:$H$18</definedName>
    <definedName name="Print_Area" localSheetId="5">'KW 07_09.02.-15.02'!$A$1:$H$18</definedName>
    <definedName name="Print_Area" localSheetId="6">'KW 08_16.02.-22.02'!$A$1:$H$17</definedName>
    <definedName name="Print_Area" localSheetId="7">'KW 09_23.02.-01.03'!$A$1:$H$17</definedName>
    <definedName name="Print_Area" localSheetId="8">'KW 10_02.03.-08.03'!$A$1:$H$17</definedName>
    <definedName name="Print_Area" localSheetId="9">'KW 11_Fact Week'!$A$1:$H$17</definedName>
    <definedName name="Print_Area" localSheetId="10">'KW 12_16.03.-22.03'!$A$1:$H$17</definedName>
    <definedName name="Print_Area" localSheetId="11">'KW 13_23.03.-29.03'!$A$1:$H$17</definedName>
    <definedName name="Print_Area" localSheetId="12">'KW 14_Ostern'!$A$1:$H$17</definedName>
    <definedName name="Print_Area" localSheetId="13">'KW 15_06.04.-12.04.'!$A$1:$H$17</definedName>
    <definedName name="Print_Area" localSheetId="14">'KW 16_13.04.-19.04.'!$A$1:$H$17</definedName>
    <definedName name="Print_Area" localSheetId="15">'KW 17_20.04.-26.04'!$A$1:$H$17</definedName>
    <definedName name="Print_Area" localSheetId="16">'KW 18_27.04.-03.05.'!$A$1:$H$17</definedName>
    <definedName name="Print_Area" localSheetId="17">'KW 19_04.05.-10.05'!$A$1:$H$17</definedName>
    <definedName name="Print_Area" localSheetId="18">'KW 20_11.05.-17.05'!$A$1:$H$17</definedName>
    <definedName name="Print_Area" localSheetId="19">'KW 21_18.05.-24.05'!$A$1:$H$17</definedName>
    <definedName name="Print_Area" localSheetId="20">'KW 22_25.05.-31.05'!$A$1:$H$17</definedName>
    <definedName name="Print_Area" localSheetId="21">'KW 23_01.06.-07.06'!$A$1:$H$17</definedName>
    <definedName name="Print_Area" localSheetId="22">'KW 24_FdK'!$A$1:$H$17</definedName>
    <definedName name="Print_Area" localSheetId="23">'KW 25_15.06.-21.06'!$A$1:$H$17</definedName>
    <definedName name="Print_Area" localSheetId="24">'KW 26_22.06.-28.06'!$A$1:$H$17</definedName>
    <definedName name="Print_Area" localSheetId="25">'KW 27_29.06.-05.07'!$A$1:$H$17</definedName>
    <definedName name="Print_Area" localSheetId="26">'KW 28_06.07.-12.07'!$A$1:$H$17</definedName>
    <definedName name="Print_Area" localSheetId="28">'KW 30_20.07.-26.07'!$A$1:$H$17</definedName>
    <definedName name="Print_Area" localSheetId="29">'KW 31_27.07-.02.08'!$A$1:$H$17</definedName>
    <definedName name="Print_Area" localSheetId="30">'KW 32_03.08-.09.08'!$A$1:$H$17</definedName>
    <definedName name="Print_Area" localSheetId="0">'KW 51_15.12-21.12'!$A$1:$H$18</definedName>
    <definedName name="Print_Area" localSheetId="3">'KW_04_ Jandia Unique'!$A$1:$H$18</definedName>
    <definedName name="Print_Area" localSheetId="27">'KW29_13.07-19.07'!$A$1:$H$17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7" l="1"/>
  <c r="D2" i="37" s="1"/>
  <c r="E2" i="37" s="1"/>
  <c r="F2" i="37" s="1"/>
  <c r="G2" i="37" s="1"/>
  <c r="H2" i="37" s="1"/>
  <c r="C2" i="36"/>
  <c r="D2" i="36" s="1"/>
  <c r="E2" i="36" s="1"/>
  <c r="F2" i="36" s="1"/>
  <c r="G2" i="36" s="1"/>
  <c r="H2" i="36" s="1"/>
  <c r="C2" i="35"/>
  <c r="D2" i="35" s="1"/>
  <c r="E2" i="35" s="1"/>
  <c r="F2" i="35" s="1"/>
  <c r="G2" i="35" s="1"/>
  <c r="H2" i="35" s="1"/>
  <c r="C2" i="34"/>
  <c r="D2" i="34"/>
  <c r="E2" i="34"/>
  <c r="F2" i="34"/>
  <c r="G2" i="34"/>
  <c r="H2" i="34"/>
  <c r="D2" i="33"/>
  <c r="E2" i="33"/>
  <c r="F2" i="33"/>
  <c r="G2" i="33"/>
  <c r="H2" i="33"/>
  <c r="C2" i="33"/>
  <c r="C2" i="32"/>
  <c r="D2" i="32"/>
  <c r="E2" i="32"/>
  <c r="F2" i="32"/>
  <c r="G2" i="32"/>
  <c r="H2" i="32"/>
  <c r="C2" i="31"/>
  <c r="D2" i="31"/>
  <c r="E2" i="31"/>
  <c r="F2" i="31"/>
  <c r="G2" i="31"/>
  <c r="H2" i="31"/>
  <c r="C2" i="30"/>
  <c r="D2" i="30"/>
  <c r="E2" i="30"/>
  <c r="F2" i="30"/>
  <c r="G2" i="30"/>
  <c r="H2" i="30"/>
  <c r="C2" i="29"/>
  <c r="D2" i="29"/>
  <c r="E2" i="29"/>
  <c r="F2" i="29"/>
  <c r="G2" i="29"/>
  <c r="H2" i="29"/>
  <c r="C2" i="28"/>
  <c r="D2" i="28"/>
  <c r="E2" i="28"/>
  <c r="F2" i="28"/>
  <c r="C2" i="27"/>
  <c r="D2" i="27"/>
  <c r="E2" i="27"/>
  <c r="F2" i="27"/>
  <c r="G2" i="27"/>
  <c r="H2" i="27"/>
  <c r="C2" i="26"/>
  <c r="D2" i="26"/>
  <c r="E2" i="26"/>
  <c r="F2" i="26"/>
  <c r="G2" i="26"/>
  <c r="H2" i="26"/>
  <c r="C2" i="25"/>
  <c r="D2" i="25"/>
  <c r="E2" i="25"/>
  <c r="F2" i="25"/>
  <c r="G2" i="25"/>
  <c r="H2" i="25"/>
  <c r="C2" i="24"/>
  <c r="D2" i="24"/>
  <c r="E2" i="24"/>
  <c r="F2" i="24"/>
  <c r="G2" i="24"/>
  <c r="H2" i="24"/>
  <c r="C2" i="23"/>
  <c r="D2" i="23"/>
  <c r="E2" i="23"/>
  <c r="F2" i="23"/>
  <c r="G2" i="23"/>
  <c r="H2" i="23"/>
  <c r="C2" i="21"/>
  <c r="D2" i="21"/>
  <c r="E2" i="21"/>
  <c r="F2" i="21"/>
  <c r="G2" i="21"/>
  <c r="H2" i="21"/>
  <c r="C2" i="20"/>
  <c r="D2" i="20"/>
  <c r="E2" i="20"/>
  <c r="F2" i="20"/>
  <c r="G2" i="20"/>
  <c r="H2" i="20"/>
  <c r="C2" i="19"/>
  <c r="D2" i="19"/>
  <c r="E2" i="19"/>
  <c r="F2" i="19"/>
  <c r="G2" i="19"/>
  <c r="H2" i="19"/>
  <c r="C2" i="18"/>
  <c r="D2" i="18"/>
  <c r="E2" i="18"/>
  <c r="F2" i="18"/>
  <c r="G2" i="18"/>
  <c r="H2" i="18"/>
  <c r="C2" i="17"/>
  <c r="D2" i="17"/>
  <c r="E2" i="17"/>
  <c r="F2" i="17"/>
  <c r="G2" i="17"/>
  <c r="H2" i="17"/>
  <c r="C2" i="16"/>
  <c r="D2" i="16"/>
  <c r="E2" i="16"/>
  <c r="F2" i="16"/>
  <c r="G2" i="16"/>
  <c r="H2" i="16"/>
  <c r="C2" i="15"/>
  <c r="D2" i="15"/>
  <c r="E2" i="15"/>
  <c r="F2" i="15"/>
  <c r="G2" i="15"/>
  <c r="H2" i="15"/>
  <c r="C2" i="14"/>
  <c r="D2" i="14"/>
  <c r="E2" i="14"/>
  <c r="F2" i="14"/>
  <c r="C2" i="13"/>
  <c r="D2" i="13"/>
  <c r="E2" i="13"/>
  <c r="F2" i="13"/>
  <c r="G2" i="13"/>
  <c r="H2" i="13"/>
  <c r="C2" i="7"/>
  <c r="D2" i="7"/>
  <c r="E2" i="7"/>
  <c r="F2" i="7"/>
  <c r="G2" i="7"/>
  <c r="H2" i="7"/>
  <c r="C2" i="12"/>
  <c r="D2" i="12"/>
  <c r="E2" i="12"/>
  <c r="F2" i="12"/>
  <c r="G2" i="12"/>
  <c r="H2" i="12"/>
  <c r="C2" i="6"/>
  <c r="D2" i="6"/>
  <c r="E2" i="6"/>
  <c r="F2" i="6"/>
  <c r="G2" i="6"/>
  <c r="H2" i="6"/>
  <c r="C2" i="5"/>
  <c r="D2" i="5"/>
  <c r="E2" i="5"/>
  <c r="F2" i="5"/>
  <c r="G2" i="5"/>
  <c r="H2" i="5"/>
  <c r="C2" i="4"/>
  <c r="D2" i="4"/>
  <c r="E2" i="4"/>
  <c r="F2" i="4"/>
  <c r="C2" i="2"/>
  <c r="D2" i="2"/>
  <c r="E2" i="2"/>
  <c r="F2" i="2"/>
  <c r="G2" i="2"/>
  <c r="H2" i="2"/>
  <c r="C2" i="1"/>
  <c r="D2" i="1"/>
  <c r="E2" i="1"/>
  <c r="F2" i="1"/>
  <c r="G2" i="1"/>
  <c r="H2" i="1"/>
</calcChain>
</file>

<file path=xl/sharedStrings.xml><?xml version="1.0" encoding="utf-8"?>
<sst xmlns="http://schemas.openxmlformats.org/spreadsheetml/2006/main" count="1805" uniqueCount="252">
  <si>
    <t>Montag</t>
  </si>
  <si>
    <t>Dienstag</t>
  </si>
  <si>
    <t>Mittwoch</t>
  </si>
  <si>
    <t>Donnerstag</t>
  </si>
  <si>
    <t>Freitag</t>
  </si>
  <si>
    <t>Samstag</t>
  </si>
  <si>
    <t>Sonntag</t>
  </si>
  <si>
    <t>Abend Programm</t>
  </si>
  <si>
    <r>
      <t xml:space="preserve">Mittagsgrill
</t>
    </r>
    <r>
      <rPr>
        <sz val="10"/>
        <color theme="0"/>
        <rFont val="Cera ROB Regular"/>
      </rPr>
      <t>12:30 - 14:00</t>
    </r>
  </si>
  <si>
    <t>DJ Dose</t>
  </si>
  <si>
    <t>Jekami</t>
  </si>
  <si>
    <t>Chillout</t>
  </si>
  <si>
    <t>Wiese</t>
  </si>
  <si>
    <t>Tennisbar</t>
  </si>
  <si>
    <t>Morroskai</t>
  </si>
  <si>
    <t>Beach</t>
  </si>
  <si>
    <t>16:30-17:30</t>
  </si>
  <si>
    <t>16:30-18:30</t>
  </si>
  <si>
    <t>Gastrotainment</t>
  </si>
  <si>
    <t xml:space="preserve">EF Apero </t>
  </si>
  <si>
    <t>Cofete Apero</t>
  </si>
  <si>
    <r>
      <t xml:space="preserve">Cofete Apero </t>
    </r>
    <r>
      <rPr>
        <sz val="8"/>
        <color rgb="FF424242"/>
        <rFont val="Cera ROB Regular"/>
      </rPr>
      <t>19-20 Uhr</t>
    </r>
  </si>
  <si>
    <t>EF Apero 19-20 Uhr</t>
  </si>
  <si>
    <t>EF 19:00 - 20:00</t>
  </si>
  <si>
    <t>EF 19:00-20:00</t>
  </si>
  <si>
    <t>Cofete 19:00 - 20:00</t>
  </si>
  <si>
    <r>
      <t xml:space="preserve">Schachbrett
</t>
    </r>
    <r>
      <rPr>
        <sz val="10"/>
        <color theme="0"/>
        <rFont val="Cera ROB Regular"/>
      </rPr>
      <t xml:space="preserve"> 22:00 / nach Show</t>
    </r>
  </si>
  <si>
    <t>DJ Eddy</t>
  </si>
  <si>
    <t>DJ AndRu</t>
  </si>
  <si>
    <t>SPECIAL</t>
  </si>
  <si>
    <r>
      <t xml:space="preserve">Nite Club
</t>
    </r>
    <r>
      <rPr>
        <sz val="10"/>
        <color theme="0"/>
        <rFont val="Cera ROB Regular"/>
      </rPr>
      <t>00:30</t>
    </r>
  </si>
  <si>
    <t>DJ Timo</t>
  </si>
  <si>
    <t>EF= Eventfläche</t>
  </si>
  <si>
    <t>VM= Vista Mar</t>
  </si>
  <si>
    <t>MS= Morroskai</t>
  </si>
  <si>
    <t>What if…</t>
  </si>
  <si>
    <t>White Night</t>
  </si>
  <si>
    <t>Viva Espana</t>
  </si>
  <si>
    <t>Flashback</t>
  </si>
  <si>
    <t>Greatest Show</t>
  </si>
  <si>
    <t>DJ</t>
  </si>
  <si>
    <t>DJ cemycem &amp; DJ René</t>
  </si>
  <si>
    <t>DJ Tim Landau</t>
  </si>
  <si>
    <t>Morro City Band</t>
  </si>
  <si>
    <t>DJ Tom Bensheim</t>
  </si>
  <si>
    <t>Nico Theodossiadis LIVE</t>
  </si>
  <si>
    <t>Jandia Playa Allstar Band</t>
  </si>
  <si>
    <t>Silent Party</t>
  </si>
  <si>
    <t>DJ Tim Willrodt &amp; DJ Eddy &amp; DJ René</t>
  </si>
  <si>
    <t>DJ Eddy + 
Nico Theodossiadis</t>
  </si>
  <si>
    <t>Royals of Rock</t>
  </si>
  <si>
    <t>Black Night</t>
  </si>
  <si>
    <t>Mexico</t>
  </si>
  <si>
    <t>Fiesta Alemana</t>
  </si>
  <si>
    <t>Moulin Rouge</t>
  </si>
  <si>
    <t>DJ Battle</t>
  </si>
  <si>
    <t xml:space="preserve">DJ Dose </t>
  </si>
  <si>
    <t>Becci (LIVE)</t>
  </si>
  <si>
    <t>Jeanne (LIVE)</t>
  </si>
  <si>
    <t>Nico Theo (LIVE SAX)</t>
  </si>
  <si>
    <t>DJ René + Nico Theo (LIVE)</t>
  </si>
  <si>
    <t>DEEJAY FRAENK</t>
  </si>
  <si>
    <t>DJ Willrodt</t>
  </si>
  <si>
    <t xml:space="preserve">DJ René  </t>
  </si>
  <si>
    <t>DJ Willrodt &amp; DJ Eddy</t>
  </si>
  <si>
    <t>DJ Mimosa</t>
  </si>
  <si>
    <t>Sebastian Dömrose &amp; Beccie</t>
  </si>
  <si>
    <t>Sebastian Dömrose</t>
  </si>
  <si>
    <t>Beccie 1Std. 
+ DJ Dose</t>
  </si>
  <si>
    <t>DJ René</t>
  </si>
  <si>
    <t>DJ René / DJ Timo</t>
  </si>
  <si>
    <t>DJ Clark</t>
  </si>
  <si>
    <t>DJ Felix / DJ Tomas</t>
  </si>
  <si>
    <t>JANDIA UNIQUE</t>
  </si>
  <si>
    <t xml:space="preserve">DJ </t>
  </si>
  <si>
    <t>Becci LIVE</t>
  </si>
  <si>
    <t>Waspo</t>
  </si>
  <si>
    <t>What If</t>
  </si>
  <si>
    <t>Quincy Calling LIVE</t>
  </si>
  <si>
    <t>DJ Rininsland</t>
  </si>
  <si>
    <t>DJ Juze</t>
  </si>
  <si>
    <t>DJ Mr. Barfly &amp; DJ Juze</t>
  </si>
  <si>
    <t>DJ Fex</t>
  </si>
  <si>
    <t>Becci</t>
  </si>
  <si>
    <t xml:space="preserve"> </t>
  </si>
  <si>
    <t>Quincy Calling LIVE + DJ cemycem</t>
  </si>
  <si>
    <t>DJ Rene &amp; DJ cemycem</t>
  </si>
  <si>
    <t>Premiere Taste of New York</t>
  </si>
  <si>
    <t xml:space="preserve">Fiesta Alemana </t>
  </si>
  <si>
    <t>DJ René &amp; DJ cemycem</t>
  </si>
  <si>
    <t>DJ Mr. Barfly</t>
  </si>
  <si>
    <t>Tom Long Collection</t>
  </si>
  <si>
    <t>DJ Rininsland/DJ Mr. Barfly</t>
  </si>
  <si>
    <t>LIVE-Abend + DJ</t>
  </si>
  <si>
    <t>Tom Long Collective + DJ Mr. Barfly</t>
  </si>
  <si>
    <t>Show: Moulin Rouge</t>
  </si>
  <si>
    <t>Show: Viva Espana</t>
  </si>
  <si>
    <t xml:space="preserve">Morroskai
Fiesta Alemana </t>
  </si>
  <si>
    <t>Tom Long Collection (LIVE)</t>
  </si>
  <si>
    <t>DJ Barfly</t>
  </si>
  <si>
    <t>DJ RININSLAND</t>
  </si>
  <si>
    <t>DJ cemycem</t>
  </si>
  <si>
    <t>DJ cemycem + Becci (LIVE)</t>
  </si>
  <si>
    <t>DJ Juze &amp; DJ RININSLAND</t>
  </si>
  <si>
    <t>Programm Abend</t>
  </si>
  <si>
    <r>
      <t xml:space="preserve">Schachbrett
</t>
    </r>
    <r>
      <rPr>
        <sz val="10"/>
        <color theme="0"/>
        <rFont val="Cera ROB Regular"/>
      </rPr>
      <t xml:space="preserve"> 21:45 / nach Show</t>
    </r>
  </si>
  <si>
    <t>Eventfläche</t>
  </si>
  <si>
    <t>Cofete</t>
  </si>
  <si>
    <t>19:00 - 20:00</t>
  </si>
  <si>
    <t>Show: What IF</t>
  </si>
  <si>
    <t>DJ Dömlobeatz</t>
  </si>
  <si>
    <t>Dena Davis Gesang(LIVE)</t>
  </si>
  <si>
    <t>Show: Taste of New York</t>
  </si>
  <si>
    <t>Silent-Party</t>
  </si>
  <si>
    <t>DJ Juze &amp; DJ Clark &amp; DJ cemycem</t>
  </si>
  <si>
    <t>Show: Mouling Rouge</t>
  </si>
  <si>
    <t>Show: Royals of Rock</t>
  </si>
  <si>
    <t>Dena Davis Gesang (LIVE)</t>
  </si>
  <si>
    <t>Beccie (LIVE)</t>
  </si>
  <si>
    <t>17:00-18:30</t>
  </si>
  <si>
    <t>17:00-19:00</t>
  </si>
  <si>
    <t>17:00-18:00</t>
  </si>
  <si>
    <t>DJ Carsten Plank</t>
  </si>
  <si>
    <t>DJ Renzo, DJ Nathan White, DJ Just Penz</t>
  </si>
  <si>
    <t>FACT-WEEK</t>
  </si>
  <si>
    <t>Show: Greatest Show</t>
  </si>
  <si>
    <t>DJ-Battle</t>
  </si>
  <si>
    <t>DJ Nathan White</t>
  </si>
  <si>
    <t>DJ Just Penz</t>
  </si>
  <si>
    <t>DJ cemycem/René</t>
  </si>
  <si>
    <t>Thomas Kible
(LIVE SAX)</t>
  </si>
  <si>
    <t>DJ Kay Gee</t>
  </si>
  <si>
    <t>DJ Nathan White &amp; DJ Kay Gee</t>
  </si>
  <si>
    <t>Show: New York</t>
  </si>
  <si>
    <t>Joshua Steib &amp; Loretta Pulwer (LIVE)</t>
  </si>
  <si>
    <t>-</t>
  </si>
  <si>
    <t>DJ cemycem/ DJ Rene</t>
  </si>
  <si>
    <t xml:space="preserve">DJ Rene &amp; DJ Nathan White &amp; DJane Elle </t>
  </si>
  <si>
    <t>Thomas Kible 
(LIVE SAX)</t>
  </si>
  <si>
    <t>Show: What if</t>
  </si>
  <si>
    <t>Crazy 80s &amp; 90s</t>
  </si>
  <si>
    <t>DJane Elle</t>
  </si>
  <si>
    <t>DJ Fabian Baroud</t>
  </si>
  <si>
    <t>Djane Elle</t>
  </si>
  <si>
    <t xml:space="preserve">21:00 Künstlertreff Ostern im Theater </t>
  </si>
  <si>
    <t xml:space="preserve">DJ Nathan White
Mod: Peer </t>
  </si>
  <si>
    <t>Becci &amp; Paolina LIVE</t>
  </si>
  <si>
    <t>DJ RenZn &amp; DJ cemycem
Becci (LIVE)</t>
  </si>
  <si>
    <t>DJ RenZn</t>
  </si>
  <si>
    <t>Sabine, Paolina und Becci (LIVE)</t>
  </si>
  <si>
    <t xml:space="preserve">Schachbrett + Bunker + Klo Party </t>
  </si>
  <si>
    <t>DJ Toby Webster</t>
  </si>
  <si>
    <t>Geräuschimpulse (LIVE)</t>
  </si>
  <si>
    <t xml:space="preserve">Kloparty: bis 02:00  DJ Tobias Portugall </t>
  </si>
  <si>
    <t>Bunker 22:30-23:00
DJ Portugall</t>
  </si>
  <si>
    <t>Geräuschimpulse (LIVE) 
ca.23.30 DJ Toby Webster</t>
  </si>
  <si>
    <t>DJ Tobias Portugall
Sabine (LIVE)</t>
  </si>
  <si>
    <t>19:00 Tombola Verlosung 
Becci (LIVE)</t>
  </si>
  <si>
    <t>19:30-22:30</t>
  </si>
  <si>
    <t xml:space="preserve">LIVE-Abend </t>
  </si>
  <si>
    <t>Paolina Zipf (LIVE)</t>
  </si>
  <si>
    <t>Geräuschimpulse</t>
  </si>
  <si>
    <t>DJ Tobias Portugall</t>
  </si>
  <si>
    <t>DJ Tobias Portugall &amp; DJ Juze</t>
  </si>
  <si>
    <t xml:space="preserve"> DJ RnZn</t>
  </si>
  <si>
    <t>DJ Jan Haselhofer</t>
  </si>
  <si>
    <t>Band UML (LIVE)</t>
  </si>
  <si>
    <t>DJ RnZn</t>
  </si>
  <si>
    <t>DJ cemycem &amp; DJ RnZn</t>
  </si>
  <si>
    <t>DJ Fraenk, DJ Juze, RnZn</t>
  </si>
  <si>
    <t>Pianoanwalt</t>
  </si>
  <si>
    <t>DJ Fraenk</t>
  </si>
  <si>
    <t>Band UML</t>
  </si>
  <si>
    <t>DJ Jan Mitchell, DJ Fraenk</t>
  </si>
  <si>
    <t>DJ Ingo Fieting</t>
  </si>
  <si>
    <t>DJ Jan Mitchell</t>
  </si>
  <si>
    <t>DJ Frank Holland</t>
  </si>
  <si>
    <t>Jennifer Deuse (LIVE)</t>
  </si>
  <si>
    <t>DJ RnZn &amp; DJ cemycem</t>
  </si>
  <si>
    <t>DJ RnZn (Grün)  
DJ Mr. Barfly (Rot)
DJ Frank Holland (Blau)</t>
  </si>
  <si>
    <t>Dani (LIVE)</t>
  </si>
  <si>
    <t>DJ Alman (Kloparty)</t>
  </si>
  <si>
    <t>Becci(LIVE)</t>
  </si>
  <si>
    <t>DJane Anni Apple</t>
  </si>
  <si>
    <t xml:space="preserve">DJ Ingo Fieting </t>
  </si>
  <si>
    <t>DJ Timo Prochnow &amp; Djane Anni Apple</t>
  </si>
  <si>
    <t>Djane Anni Apple</t>
  </si>
  <si>
    <t>DJ Timo Prochnow</t>
  </si>
  <si>
    <t>DJ RnZn &amp; DJ Tamara</t>
  </si>
  <si>
    <t>Show: Viva Espania</t>
  </si>
  <si>
    <t>DJ Alman(Grün) &amp; 
DJ Timo Prochnow (Blau) &amp; 
DJ Anni Apple (Rot)</t>
  </si>
  <si>
    <t>Becci (LIVE) &amp; DJ RnZN</t>
  </si>
  <si>
    <t>DJ Phil</t>
  </si>
  <si>
    <t>Ulf (LIVE)</t>
  </si>
  <si>
    <t>DJ RnZN &amp; DJ cemycem</t>
  </si>
  <si>
    <t>DJ BALEAR</t>
  </si>
  <si>
    <t>DJ Wetend</t>
  </si>
  <si>
    <t>DJ Balaer</t>
  </si>
  <si>
    <t>Tom Long Dou (LIVE)</t>
  </si>
  <si>
    <t>DJ Flick</t>
  </si>
  <si>
    <t>Djane Ginka &amp; DJ Flick</t>
  </si>
  <si>
    <t>Show: What If</t>
  </si>
  <si>
    <t>15:00 Uhr Künstlermeeting an der Poolbar</t>
  </si>
  <si>
    <t>Tom Long Duo (LIVE)</t>
  </si>
  <si>
    <t xml:space="preserve">DJane Ginka </t>
  </si>
  <si>
    <t>DJane Ginka</t>
  </si>
  <si>
    <t>DJ FLIKK</t>
  </si>
  <si>
    <t>DJ Alex Heimann</t>
  </si>
  <si>
    <t>Fluch der Kanaren</t>
  </si>
  <si>
    <t>DJ YouAre</t>
  </si>
  <si>
    <t>Amina Welt (LIVE)</t>
  </si>
  <si>
    <t>Jandia Arena (Deutschland-Spiel)</t>
  </si>
  <si>
    <t>DJ Alex Falkner</t>
  </si>
  <si>
    <t>DJ cemycem &amp; DJ Rnzn</t>
  </si>
  <si>
    <t>DJ Mian Maris</t>
  </si>
  <si>
    <t>DJ Kai</t>
  </si>
  <si>
    <t>DJ Mian Maris + DJ Kai</t>
  </si>
  <si>
    <t>Damir Brajlovic (LIVE)</t>
  </si>
  <si>
    <t>DJ (Clement)</t>
  </si>
  <si>
    <t>DJ Adrian Mahr</t>
  </si>
  <si>
    <t xml:space="preserve">Hochzeit Morroskai </t>
  </si>
  <si>
    <t>Jandia Arena</t>
  </si>
  <si>
    <t>Jandia Arena + Fiesta Alemana</t>
  </si>
  <si>
    <t>DJ Daniel Sol</t>
  </si>
  <si>
    <t>Jandia Arena + DJ</t>
  </si>
  <si>
    <t>Dina del Sol (LIVE)</t>
  </si>
  <si>
    <t xml:space="preserve">DJ Adrian Mahr </t>
  </si>
  <si>
    <t>Djane Nightingale &amp; DJ Daniel Sol</t>
  </si>
  <si>
    <t>SINA (LIVE)</t>
  </si>
  <si>
    <t>(Jandia Arena) + DJ</t>
  </si>
  <si>
    <t>What IF</t>
  </si>
  <si>
    <t>Djane Nightingale</t>
  </si>
  <si>
    <t>Gesang SIN (LIVE)</t>
  </si>
  <si>
    <t>DJ Clement</t>
  </si>
  <si>
    <t>DJ Nightingale</t>
  </si>
  <si>
    <t>Fiesta y Sol</t>
  </si>
  <si>
    <t>DJ Louis V</t>
  </si>
  <si>
    <t>Show: Spanish Night</t>
  </si>
  <si>
    <t>Show: What if...</t>
  </si>
  <si>
    <t xml:space="preserve">DJ Juze </t>
  </si>
  <si>
    <t>Djane ELLE</t>
  </si>
  <si>
    <t>Angela Julie (LIVE)</t>
  </si>
  <si>
    <t xml:space="preserve">DJ Louis V </t>
  </si>
  <si>
    <t>DJ Patryk</t>
  </si>
  <si>
    <t>Puauline Giese (LIVE)</t>
  </si>
  <si>
    <t>Pauline Giese (LIVE)</t>
  </si>
  <si>
    <t xml:space="preserve">Flashback </t>
  </si>
  <si>
    <t>DJ HEBBi</t>
  </si>
  <si>
    <t>DJ ELLE</t>
  </si>
  <si>
    <t>DJ Rejon</t>
  </si>
  <si>
    <t>Paradise on Fire</t>
  </si>
  <si>
    <t>DJane 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</si>
</sst>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era ROB Regular"/>
    </font>
    <font>
      <sz val="10"/>
      <color theme="0"/>
      <name val="Cera ROB Regular"/>
    </font>
    <font>
      <b/>
      <sz val="9"/>
      <color rgb="FF424242"/>
      <name val="Cera ROB Regular"/>
    </font>
    <font>
      <sz val="9"/>
      <color rgb="FF424242"/>
      <name val="Cera ROB Regular"/>
    </font>
    <font>
      <sz val="9"/>
      <name val="Cera ROB Regular"/>
    </font>
    <font>
      <b/>
      <sz val="8"/>
      <color rgb="FF424242"/>
      <name val="Cera ROB Regular"/>
    </font>
    <font>
      <sz val="8"/>
      <color rgb="FF424242"/>
      <name val="Cera ROB Regular"/>
    </font>
    <font>
      <sz val="9"/>
      <color theme="0"/>
      <name val="Cera ROB Regular"/>
    </font>
    <font>
      <b/>
      <sz val="9"/>
      <color rgb="FFFF0000"/>
      <name val="Cera ROB Regula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era ROB Regular"/>
    </font>
    <font>
      <b/>
      <sz val="12"/>
      <color rgb="FF424242"/>
      <name val="Cera ROB Regular"/>
    </font>
  </fonts>
  <fills count="9">
    <fill>
      <patternFill patternType="none"/>
    </fill>
    <fill>
      <patternFill patternType="gray125"/>
    </fill>
    <fill>
      <patternFill patternType="solid">
        <fgColor rgb="FF005EB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0" borderId="0" xfId="1"/>
    <xf numFmtId="14" fontId="3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0" fillId="8" borderId="0" xfId="0" applyFill="1"/>
    <xf numFmtId="0" fontId="0" fillId="0" borderId="0" xfId="1" applyFont="1"/>
    <xf numFmtId="0" fontId="2" fillId="2" borderId="37" xfId="0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4" fillId="7" borderId="43" xfId="0" applyFont="1" applyFill="1" applyBorder="1" applyAlignment="1">
      <alignment horizontal="center" vertical="center" wrapText="1"/>
    </xf>
    <xf numFmtId="0" fontId="5" fillId="7" borderId="44" xfId="0" applyFont="1" applyFill="1" applyBorder="1" applyAlignment="1">
      <alignment horizontal="center" vertical="center" wrapText="1"/>
    </xf>
    <xf numFmtId="0" fontId="5" fillId="7" borderId="45" xfId="0" applyFont="1" applyFill="1" applyBorder="1" applyAlignment="1">
      <alignment horizontal="center" vertical="center" wrapText="1"/>
    </xf>
    <xf numFmtId="0" fontId="5" fillId="7" borderId="46" xfId="0" applyFont="1" applyFill="1" applyBorder="1" applyAlignment="1">
      <alignment horizontal="center" vertical="center" wrapText="1"/>
    </xf>
    <xf numFmtId="0" fontId="5" fillId="7" borderId="47" xfId="0" applyFont="1" applyFill="1" applyBorder="1" applyAlignment="1">
      <alignment horizontal="center" vertical="center" wrapText="1"/>
    </xf>
    <xf numFmtId="0" fontId="5" fillId="7" borderId="48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42" xfId="0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BA9E5C39-0F80-4526-84F1-5BB8BC220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578827</xdr:colOff>
      <xdr:row>6</xdr:row>
      <xdr:rowOff>476250</xdr:rowOff>
    </xdr:from>
    <xdr:to>
      <xdr:col>7</xdr:col>
      <xdr:colOff>798634</xdr:colOff>
      <xdr:row>9</xdr:row>
      <xdr:rowOff>139211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852FBD3-7546-4A66-BE06-2B2A857BCB14}"/>
            </a:ext>
          </a:extLst>
        </xdr:cNvPr>
        <xdr:cNvSpPr txBox="1"/>
      </xdr:nvSpPr>
      <xdr:spPr>
        <a:xfrm>
          <a:off x="7465402" y="2114550"/>
          <a:ext cx="1248507" cy="35828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latin typeface="Cera ROB" panose="00000500000000000000" pitchFamily="2" charset="0"/>
            </a:rPr>
            <a:t>JANDIA UNIQUE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578827</xdr:colOff>
      <xdr:row>6</xdr:row>
      <xdr:rowOff>476250</xdr:rowOff>
    </xdr:from>
    <xdr:to>
      <xdr:col>7</xdr:col>
      <xdr:colOff>798634</xdr:colOff>
      <xdr:row>9</xdr:row>
      <xdr:rowOff>139211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BBB4A17-A6FD-4F05-AAC6-CA4295964FDB}"/>
            </a:ext>
          </a:extLst>
        </xdr:cNvPr>
        <xdr:cNvSpPr txBox="1"/>
      </xdr:nvSpPr>
      <xdr:spPr>
        <a:xfrm>
          <a:off x="7465402" y="2114550"/>
          <a:ext cx="1248507" cy="35828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100" b="1">
              <a:latin typeface="Cera ROB" panose="00000500000000000000" pitchFamily="2" charset="0"/>
            </a:rPr>
            <a:t>Fact Week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814021</xdr:colOff>
      <xdr:row>7</xdr:row>
      <xdr:rowOff>77664</xdr:rowOff>
    </xdr:from>
    <xdr:to>
      <xdr:col>2</xdr:col>
      <xdr:colOff>388327</xdr:colOff>
      <xdr:row>10</xdr:row>
      <xdr:rowOff>14653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7A92DB68-886B-B4DF-21FB-F70BAD5F259D}"/>
            </a:ext>
          </a:extLst>
        </xdr:cNvPr>
        <xdr:cNvSpPr txBox="1"/>
      </xdr:nvSpPr>
      <xdr:spPr>
        <a:xfrm>
          <a:off x="2213463" y="2107222"/>
          <a:ext cx="673345" cy="6989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100" b="1"/>
            <a:t>PLAN</a:t>
          </a:r>
          <a:r>
            <a:rPr lang="de-DE" sz="1100" b="1" baseline="0"/>
            <a:t> </a:t>
          </a:r>
          <a:r>
            <a:rPr lang="de-DE" sz="1100" b="1"/>
            <a:t>OSTERN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512885</xdr:colOff>
      <xdr:row>7</xdr:row>
      <xdr:rowOff>146538</xdr:rowOff>
    </xdr:from>
    <xdr:to>
      <xdr:col>7</xdr:col>
      <xdr:colOff>937846</xdr:colOff>
      <xdr:row>9</xdr:row>
      <xdr:rowOff>0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182E0267-BF70-43AC-936B-9E6B08478ACE}"/>
            </a:ext>
          </a:extLst>
        </xdr:cNvPr>
        <xdr:cNvSpPr txBox="1"/>
      </xdr:nvSpPr>
      <xdr:spPr>
        <a:xfrm>
          <a:off x="7407520" y="2176096"/>
          <a:ext cx="1450730" cy="35901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latin typeface="Cera ROB" panose="00000500000000000000" pitchFamily="2" charset="0"/>
            </a:rPr>
            <a:t>Fluch der Kanaren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3ED9-794D-4C9F-BECE-769E793E3278}">
  <sheetPr codeName="Tabelle1"/>
  <dimension ref="A1:H20"/>
  <sheetViews>
    <sheetView view="pageLayout" zoomScale="130" zoomScaleNormal="134" zoomScalePageLayoutView="130" workbookViewId="0">
      <selection activeCell="B3" sqref="B3:H3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102"/>
      <c r="B2" s="3">
        <v>46027</v>
      </c>
      <c r="C2" s="3">
        <f t="shared" ref="C2:H2" si="0">B2+1</f>
        <v>46028</v>
      </c>
      <c r="D2" s="3">
        <f t="shared" si="0"/>
        <v>46029</v>
      </c>
      <c r="E2" s="3">
        <f t="shared" si="0"/>
        <v>46030</v>
      </c>
      <c r="F2" s="3">
        <f t="shared" si="0"/>
        <v>46031</v>
      </c>
      <c r="G2" s="3">
        <f t="shared" si="0"/>
        <v>46032</v>
      </c>
      <c r="H2" s="3">
        <f t="shared" si="0"/>
        <v>46033</v>
      </c>
    </row>
    <row r="3" spans="1:8" ht="29.25" customHeight="1" x14ac:dyDescent="0.25">
      <c r="A3" s="1" t="s">
        <v>7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47</v>
      </c>
    </row>
    <row r="4" spans="1:8" ht="28.15" customHeight="1" x14ac:dyDescent="0.25">
      <c r="A4" s="5" t="s">
        <v>8</v>
      </c>
      <c r="B4" s="6" t="s">
        <v>28</v>
      </c>
      <c r="C4" s="7"/>
      <c r="D4" s="7"/>
      <c r="E4" s="7" t="s">
        <v>49</v>
      </c>
      <c r="F4" s="7"/>
      <c r="G4" s="7"/>
      <c r="H4" s="7"/>
    </row>
    <row r="5" spans="1:8" ht="18" customHeight="1" x14ac:dyDescent="0.25">
      <c r="A5" s="5" t="s">
        <v>10</v>
      </c>
      <c r="B5" s="7"/>
      <c r="C5" s="7"/>
      <c r="D5" s="7"/>
      <c r="E5" s="7"/>
      <c r="F5" s="7"/>
      <c r="G5" s="7"/>
      <c r="H5" s="6"/>
    </row>
    <row r="6" spans="1:8" ht="18" customHeight="1" x14ac:dyDescent="0.25">
      <c r="A6" s="93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14</v>
      </c>
      <c r="G6" s="8"/>
      <c r="H6" s="8" t="s">
        <v>14</v>
      </c>
    </row>
    <row r="7" spans="1:8" ht="41.25" customHeight="1" x14ac:dyDescent="0.25">
      <c r="A7" s="97"/>
      <c r="B7" s="9" t="s">
        <v>46</v>
      </c>
      <c r="C7" s="9" t="s">
        <v>27</v>
      </c>
      <c r="D7" s="10" t="s">
        <v>44</v>
      </c>
      <c r="E7" s="9" t="s">
        <v>46</v>
      </c>
      <c r="F7" s="10" t="s">
        <v>42</v>
      </c>
      <c r="G7" s="6"/>
      <c r="H7" s="10" t="s">
        <v>28</v>
      </c>
    </row>
    <row r="8" spans="1:8" ht="14.1" customHeight="1" x14ac:dyDescent="0.25">
      <c r="A8" s="94"/>
      <c r="B8" s="7" t="s">
        <v>16</v>
      </c>
      <c r="C8" s="7" t="s">
        <v>17</v>
      </c>
      <c r="D8" s="7" t="s">
        <v>17</v>
      </c>
      <c r="E8" s="7" t="s">
        <v>16</v>
      </c>
      <c r="F8" s="7" t="s">
        <v>17</v>
      </c>
      <c r="G8" s="6"/>
      <c r="H8" s="7" t="s">
        <v>17</v>
      </c>
    </row>
    <row r="9" spans="1:8" ht="12.75" hidden="1" customHeight="1" x14ac:dyDescent="0.25">
      <c r="A9" s="93" t="s">
        <v>18</v>
      </c>
      <c r="B9" s="11"/>
      <c r="C9" s="12" t="s">
        <v>9</v>
      </c>
      <c r="D9" s="4" t="s">
        <v>19</v>
      </c>
      <c r="E9" s="68"/>
      <c r="F9" s="4" t="s">
        <v>20</v>
      </c>
      <c r="G9" s="104"/>
      <c r="H9" s="13" t="s">
        <v>21</v>
      </c>
    </row>
    <row r="10" spans="1:8" ht="20.25" customHeight="1" x14ac:dyDescent="0.25">
      <c r="A10" s="97"/>
      <c r="B10" s="89" t="s">
        <v>45</v>
      </c>
      <c r="C10" s="89"/>
      <c r="D10" s="89" t="s">
        <v>43</v>
      </c>
      <c r="E10" s="69"/>
      <c r="F10" s="89" t="s">
        <v>45</v>
      </c>
      <c r="G10" s="105"/>
      <c r="H10" s="14" t="s">
        <v>22</v>
      </c>
    </row>
    <row r="11" spans="1:8" ht="15.75" customHeight="1" x14ac:dyDescent="0.25">
      <c r="A11" s="97"/>
      <c r="B11" s="81"/>
      <c r="C11" s="81"/>
      <c r="D11" s="81"/>
      <c r="E11" s="69"/>
      <c r="F11" s="81"/>
      <c r="G11" s="105"/>
      <c r="H11" s="89" t="s">
        <v>9</v>
      </c>
    </row>
    <row r="12" spans="1:8" x14ac:dyDescent="0.25">
      <c r="A12" s="97"/>
      <c r="B12" s="82"/>
      <c r="C12" s="82"/>
      <c r="D12" s="82"/>
      <c r="E12" s="69"/>
      <c r="F12" s="82"/>
      <c r="G12" s="106"/>
      <c r="H12" s="81"/>
    </row>
    <row r="13" spans="1:8" ht="22.5" customHeight="1" x14ac:dyDescent="0.25">
      <c r="A13" s="94"/>
      <c r="B13" s="7" t="s">
        <v>23</v>
      </c>
      <c r="C13" s="7"/>
      <c r="D13" s="7" t="s">
        <v>24</v>
      </c>
      <c r="E13" s="103"/>
      <c r="F13" s="7" t="s">
        <v>25</v>
      </c>
      <c r="G13" s="6"/>
      <c r="H13" s="82"/>
    </row>
    <row r="14" spans="1:8" ht="28.5" x14ac:dyDescent="0.25">
      <c r="A14" s="5" t="s">
        <v>26</v>
      </c>
      <c r="B14" s="15" t="s">
        <v>42</v>
      </c>
      <c r="C14" s="15" t="s">
        <v>41</v>
      </c>
      <c r="D14" s="15" t="s">
        <v>42</v>
      </c>
      <c r="E14" s="15" t="s">
        <v>28</v>
      </c>
      <c r="F14" s="15" t="s">
        <v>27</v>
      </c>
      <c r="G14" s="15" t="s">
        <v>28</v>
      </c>
      <c r="H14" s="15" t="s">
        <v>48</v>
      </c>
    </row>
    <row r="15" spans="1:8" ht="22.5" customHeight="1" x14ac:dyDescent="0.25">
      <c r="A15" s="93" t="s">
        <v>29</v>
      </c>
      <c r="B15" s="98"/>
      <c r="C15" s="98"/>
      <c r="D15" s="89"/>
      <c r="E15" s="64"/>
      <c r="F15" s="98"/>
      <c r="G15" s="68"/>
      <c r="H15" s="101"/>
    </row>
    <row r="16" spans="1:8" ht="28.5" customHeight="1" x14ac:dyDescent="0.25">
      <c r="A16" s="97"/>
      <c r="B16" s="78"/>
      <c r="C16" s="78"/>
      <c r="D16" s="81"/>
      <c r="E16" s="78"/>
      <c r="F16" s="78"/>
      <c r="G16" s="99"/>
      <c r="H16" s="101"/>
    </row>
    <row r="17" spans="1:8" ht="7.5" hidden="1" customHeight="1" x14ac:dyDescent="0.25">
      <c r="A17" s="94"/>
      <c r="B17" s="79"/>
      <c r="C17" s="79"/>
      <c r="D17" s="82"/>
      <c r="E17" s="79"/>
      <c r="F17" s="79"/>
      <c r="G17" s="100"/>
      <c r="H17" s="101"/>
    </row>
    <row r="18" spans="1:8" ht="26.25" customHeight="1" x14ac:dyDescent="0.25">
      <c r="A18" s="93" t="s">
        <v>30</v>
      </c>
      <c r="B18" s="60"/>
      <c r="C18" s="62" t="s">
        <v>44</v>
      </c>
      <c r="D18" s="64"/>
      <c r="E18" s="64"/>
      <c r="F18" s="62" t="s">
        <v>31</v>
      </c>
      <c r="G18" s="91"/>
      <c r="H18" s="91"/>
    </row>
    <row r="19" spans="1:8" ht="6" customHeight="1" thickBot="1" x14ac:dyDescent="0.3">
      <c r="A19" s="94"/>
      <c r="B19" s="95"/>
      <c r="C19" s="96"/>
      <c r="D19" s="79"/>
      <c r="E19" s="79"/>
      <c r="F19" s="96"/>
      <c r="G19" s="92"/>
      <c r="H19" s="92"/>
    </row>
    <row r="20" spans="1:8" x14ac:dyDescent="0.25">
      <c r="A20"/>
      <c r="B20" s="16" t="s">
        <v>32</v>
      </c>
      <c r="C20" s="16" t="s">
        <v>33</v>
      </c>
      <c r="D20" s="16" t="s">
        <v>34</v>
      </c>
      <c r="E20"/>
      <c r="F20"/>
      <c r="G20"/>
      <c r="H20"/>
    </row>
  </sheetData>
  <mergeCells count="26">
    <mergeCell ref="A1:A2"/>
    <mergeCell ref="A6:A8"/>
    <mergeCell ref="A9:A13"/>
    <mergeCell ref="E9:E13"/>
    <mergeCell ref="G9:G12"/>
    <mergeCell ref="B10:B12"/>
    <mergeCell ref="C10:C12"/>
    <mergeCell ref="D10:D12"/>
    <mergeCell ref="F10:F12"/>
    <mergeCell ref="H11:H13"/>
    <mergeCell ref="A15:A17"/>
    <mergeCell ref="B15:B17"/>
    <mergeCell ref="C15:C17"/>
    <mergeCell ref="D15:D17"/>
    <mergeCell ref="E15:E17"/>
    <mergeCell ref="F15:F17"/>
    <mergeCell ref="G15:G17"/>
    <mergeCell ref="H15:H17"/>
    <mergeCell ref="G18:G19"/>
    <mergeCell ref="H18:H19"/>
    <mergeCell ref="A18:A19"/>
    <mergeCell ref="B18:B19"/>
    <mergeCell ref="C18:C19"/>
    <mergeCell ref="D18:D19"/>
    <mergeCell ref="E18:E19"/>
    <mergeCell ref="F18:F19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01
&amp;"Cera ROB Regular,Fett"&amp;10&amp;K00+000
</oddHeader>
    <oddFooter>&amp;Rstand &amp;"-,Fett"&amp;D&amp;"-,Standard"
Änderungen vorbehalten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D312-D42B-42B6-8A68-95746C90B140}">
  <sheetPr codeName="Tabelle2"/>
  <dimension ref="A1:H20"/>
  <sheetViews>
    <sheetView view="pageLayout" zoomScale="130" zoomScaleNormal="134" zoomScalePageLayoutView="130" workbookViewId="0">
      <selection activeCell="G9" sqref="G9:G12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102"/>
      <c r="B2" s="3">
        <v>46034</v>
      </c>
      <c r="C2" s="3">
        <f t="shared" ref="C2:H2" si="0">B2+1</f>
        <v>46035</v>
      </c>
      <c r="D2" s="3">
        <f t="shared" si="0"/>
        <v>46036</v>
      </c>
      <c r="E2" s="3">
        <f t="shared" si="0"/>
        <v>46037</v>
      </c>
      <c r="F2" s="3">
        <f t="shared" si="0"/>
        <v>46038</v>
      </c>
      <c r="G2" s="3">
        <f t="shared" si="0"/>
        <v>46039</v>
      </c>
      <c r="H2" s="3">
        <f t="shared" si="0"/>
        <v>46040</v>
      </c>
    </row>
    <row r="3" spans="1:8" ht="29.25" customHeight="1" x14ac:dyDescent="0.25">
      <c r="A3" s="1" t="s">
        <v>7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40</v>
      </c>
      <c r="H3" s="4" t="s">
        <v>55</v>
      </c>
    </row>
    <row r="4" spans="1:8" ht="28.15" customHeight="1" x14ac:dyDescent="0.25">
      <c r="A4" s="5" t="s">
        <v>8</v>
      </c>
      <c r="B4" s="6" t="s">
        <v>56</v>
      </c>
      <c r="C4" s="7"/>
      <c r="D4" s="7"/>
      <c r="E4" s="6" t="s">
        <v>56</v>
      </c>
      <c r="F4" s="7"/>
      <c r="G4" s="7"/>
      <c r="H4" s="7"/>
    </row>
    <row r="5" spans="1:8" ht="18" customHeight="1" x14ac:dyDescent="0.25">
      <c r="A5" s="5" t="s">
        <v>10</v>
      </c>
      <c r="B5" s="7"/>
      <c r="C5" s="7"/>
      <c r="D5" s="7"/>
      <c r="E5" s="7"/>
      <c r="F5" s="7"/>
      <c r="G5" s="7"/>
      <c r="H5" s="6"/>
    </row>
    <row r="6" spans="1:8" ht="18" customHeight="1" x14ac:dyDescent="0.25">
      <c r="A6" s="93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14</v>
      </c>
      <c r="G6" s="8"/>
      <c r="H6" s="8" t="s">
        <v>14</v>
      </c>
    </row>
    <row r="7" spans="1:8" ht="41.25" customHeight="1" x14ac:dyDescent="0.25">
      <c r="A7" s="97"/>
      <c r="B7" s="9" t="s">
        <v>27</v>
      </c>
      <c r="C7" s="9" t="s">
        <v>61</v>
      </c>
      <c r="D7" s="10" t="s">
        <v>27</v>
      </c>
      <c r="E7" s="9" t="s">
        <v>57</v>
      </c>
      <c r="F7" s="10" t="s">
        <v>62</v>
      </c>
      <c r="G7" s="6"/>
      <c r="H7" s="10" t="s">
        <v>28</v>
      </c>
    </row>
    <row r="8" spans="1:8" ht="14.1" customHeight="1" x14ac:dyDescent="0.25">
      <c r="A8" s="94"/>
      <c r="B8" s="7" t="s">
        <v>16</v>
      </c>
      <c r="C8" s="7" t="s">
        <v>17</v>
      </c>
      <c r="D8" s="7" t="s">
        <v>17</v>
      </c>
      <c r="E8" s="7" t="s">
        <v>16</v>
      </c>
      <c r="F8" s="7" t="s">
        <v>17</v>
      </c>
      <c r="G8" s="6"/>
      <c r="H8" s="7" t="s">
        <v>17</v>
      </c>
    </row>
    <row r="9" spans="1:8" ht="12.75" hidden="1" customHeight="1" x14ac:dyDescent="0.25">
      <c r="A9" s="93" t="s">
        <v>18</v>
      </c>
      <c r="B9" s="11"/>
      <c r="C9" s="12" t="s">
        <v>9</v>
      </c>
      <c r="D9" s="4" t="s">
        <v>19</v>
      </c>
      <c r="E9" s="68"/>
      <c r="F9" s="4" t="s">
        <v>20</v>
      </c>
      <c r="G9" s="104"/>
      <c r="H9" s="13" t="s">
        <v>21</v>
      </c>
    </row>
    <row r="10" spans="1:8" ht="20.25" customHeight="1" x14ac:dyDescent="0.25">
      <c r="A10" s="97"/>
      <c r="B10" s="89" t="s">
        <v>58</v>
      </c>
      <c r="C10" s="89"/>
      <c r="D10" s="89" t="s">
        <v>59</v>
      </c>
      <c r="E10" s="69"/>
      <c r="F10" s="89" t="s">
        <v>57</v>
      </c>
      <c r="G10" s="105"/>
      <c r="H10" s="14" t="s">
        <v>22</v>
      </c>
    </row>
    <row r="11" spans="1:8" ht="15.75" customHeight="1" x14ac:dyDescent="0.25">
      <c r="A11" s="97"/>
      <c r="B11" s="81"/>
      <c r="C11" s="81"/>
      <c r="D11" s="81"/>
      <c r="E11" s="69"/>
      <c r="F11" s="81"/>
      <c r="G11" s="105"/>
      <c r="H11" s="89" t="s">
        <v>59</v>
      </c>
    </row>
    <row r="12" spans="1:8" x14ac:dyDescent="0.25">
      <c r="A12" s="97"/>
      <c r="B12" s="82"/>
      <c r="C12" s="82"/>
      <c r="D12" s="82"/>
      <c r="E12" s="69"/>
      <c r="F12" s="82"/>
      <c r="G12" s="106"/>
      <c r="H12" s="81"/>
    </row>
    <row r="13" spans="1:8" ht="22.5" customHeight="1" x14ac:dyDescent="0.25">
      <c r="A13" s="94"/>
      <c r="B13" s="7" t="s">
        <v>23</v>
      </c>
      <c r="C13" s="7"/>
      <c r="D13" s="7" t="s">
        <v>24</v>
      </c>
      <c r="E13" s="103"/>
      <c r="F13" s="7" t="s">
        <v>25</v>
      </c>
      <c r="G13" s="6"/>
      <c r="H13" s="82"/>
    </row>
    <row r="14" spans="1:8" ht="28.5" x14ac:dyDescent="0.25">
      <c r="A14" s="5" t="s">
        <v>26</v>
      </c>
      <c r="B14" s="15" t="s">
        <v>62</v>
      </c>
      <c r="C14" s="15" t="s">
        <v>60</v>
      </c>
      <c r="D14" s="15" t="s">
        <v>28</v>
      </c>
      <c r="E14" s="15" t="s">
        <v>27</v>
      </c>
      <c r="F14" s="15" t="s">
        <v>63</v>
      </c>
      <c r="G14" s="15" t="s">
        <v>28</v>
      </c>
      <c r="H14" s="15" t="s">
        <v>64</v>
      </c>
    </row>
    <row r="15" spans="1:8" ht="22.5" customHeight="1" x14ac:dyDescent="0.25">
      <c r="A15" s="93" t="s">
        <v>29</v>
      </c>
      <c r="B15" s="98"/>
      <c r="C15" s="98"/>
      <c r="D15" s="89"/>
      <c r="E15" s="64"/>
      <c r="F15" s="98"/>
      <c r="G15" s="68"/>
      <c r="H15" s="101"/>
    </row>
    <row r="16" spans="1:8" ht="28.5" customHeight="1" x14ac:dyDescent="0.25">
      <c r="A16" s="97"/>
      <c r="B16" s="78"/>
      <c r="C16" s="78"/>
      <c r="D16" s="81"/>
      <c r="E16" s="78"/>
      <c r="F16" s="78"/>
      <c r="G16" s="99"/>
      <c r="H16" s="101"/>
    </row>
    <row r="17" spans="1:8" ht="7.5" hidden="1" customHeight="1" x14ac:dyDescent="0.25">
      <c r="A17" s="94"/>
      <c r="B17" s="79"/>
      <c r="C17" s="79"/>
      <c r="D17" s="82"/>
      <c r="E17" s="79"/>
      <c r="F17" s="79"/>
      <c r="G17" s="100"/>
      <c r="H17" s="101"/>
    </row>
    <row r="18" spans="1:8" ht="26.25" customHeight="1" x14ac:dyDescent="0.25">
      <c r="A18" s="93" t="s">
        <v>30</v>
      </c>
      <c r="B18" s="60"/>
      <c r="C18" s="62" t="s">
        <v>62</v>
      </c>
      <c r="D18" s="64"/>
      <c r="E18" s="64"/>
      <c r="F18" s="62" t="s">
        <v>31</v>
      </c>
      <c r="G18" s="91"/>
      <c r="H18" s="91"/>
    </row>
    <row r="19" spans="1:8" ht="6" customHeight="1" thickBot="1" x14ac:dyDescent="0.3">
      <c r="A19" s="94"/>
      <c r="B19" s="95"/>
      <c r="C19" s="96"/>
      <c r="D19" s="79"/>
      <c r="E19" s="79"/>
      <c r="F19" s="96"/>
      <c r="G19" s="92"/>
      <c r="H19" s="92"/>
    </row>
    <row r="20" spans="1:8" x14ac:dyDescent="0.25">
      <c r="A20"/>
      <c r="B20" s="16" t="s">
        <v>32</v>
      </c>
      <c r="C20" s="16" t="s">
        <v>33</v>
      </c>
      <c r="D20" s="16" t="s">
        <v>34</v>
      </c>
      <c r="E20"/>
      <c r="F20"/>
      <c r="G20"/>
      <c r="H20"/>
    </row>
  </sheetData>
  <mergeCells count="26">
    <mergeCell ref="G18:G19"/>
    <mergeCell ref="H18:H19"/>
    <mergeCell ref="A18:A19"/>
    <mergeCell ref="B18:B19"/>
    <mergeCell ref="C18:C19"/>
    <mergeCell ref="D18:D19"/>
    <mergeCell ref="E18:E19"/>
    <mergeCell ref="F18:F19"/>
    <mergeCell ref="H11:H13"/>
    <mergeCell ref="A15:A17"/>
    <mergeCell ref="B15:B17"/>
    <mergeCell ref="C15:C17"/>
    <mergeCell ref="D15:D17"/>
    <mergeCell ref="E15:E17"/>
    <mergeCell ref="F15:F17"/>
    <mergeCell ref="G15:G17"/>
    <mergeCell ref="H15:H17"/>
    <mergeCell ref="A1:A2"/>
    <mergeCell ref="A6:A8"/>
    <mergeCell ref="A9:A13"/>
    <mergeCell ref="E9:E13"/>
    <mergeCell ref="G9:G12"/>
    <mergeCell ref="B10:B12"/>
    <mergeCell ref="C10:C12"/>
    <mergeCell ref="D10:D12"/>
    <mergeCell ref="F10:F12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02
&amp;"Cera ROB Regular,Fett"&amp;10&amp;K00+000
</oddHeader>
    <oddFooter>&amp;Rstand &amp;"-,Fett"&amp;D&amp;"-,Standard"
Änderungen vorbehalten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5C55-D670-4E72-8CFC-357C80C3FA3F}">
  <sheetPr codeName="Tabelle3"/>
  <dimension ref="A1:H20"/>
  <sheetViews>
    <sheetView view="pageLayout" topLeftCell="A4" zoomScale="130" zoomScaleNormal="134" zoomScalePageLayoutView="130" workbookViewId="0">
      <selection activeCell="G1" sqref="G1:H19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07" t="s">
        <v>5</v>
      </c>
      <c r="H1" s="108"/>
    </row>
    <row r="2" spans="1:8" ht="15" customHeight="1" x14ac:dyDescent="0.25">
      <c r="A2" s="102"/>
      <c r="B2" s="3">
        <v>46041</v>
      </c>
      <c r="C2" s="3">
        <f t="shared" ref="C2:F2" si="0">B2+1</f>
        <v>46042</v>
      </c>
      <c r="D2" s="3">
        <f t="shared" si="0"/>
        <v>46043</v>
      </c>
      <c r="E2" s="3">
        <f t="shared" si="0"/>
        <v>46044</v>
      </c>
      <c r="F2" s="3">
        <f t="shared" si="0"/>
        <v>46045</v>
      </c>
      <c r="G2" s="109"/>
      <c r="H2" s="110"/>
    </row>
    <row r="3" spans="1:8" ht="29.25" customHeight="1" x14ac:dyDescent="0.25">
      <c r="A3" s="1" t="s">
        <v>7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109"/>
      <c r="H3" s="110"/>
    </row>
    <row r="4" spans="1:8" ht="28.15" customHeight="1" x14ac:dyDescent="0.25">
      <c r="A4" s="5" t="s">
        <v>8</v>
      </c>
      <c r="B4" s="7" t="s">
        <v>68</v>
      </c>
      <c r="C4" s="7"/>
      <c r="D4" s="7"/>
      <c r="E4" s="6" t="s">
        <v>56</v>
      </c>
      <c r="F4" s="7"/>
      <c r="G4" s="109"/>
      <c r="H4" s="110"/>
    </row>
    <row r="5" spans="1:8" ht="18" customHeight="1" x14ac:dyDescent="0.25">
      <c r="A5" s="5" t="s">
        <v>10</v>
      </c>
      <c r="B5" s="7"/>
      <c r="C5" s="7"/>
      <c r="D5" s="7"/>
      <c r="E5" s="7"/>
      <c r="F5" s="7"/>
      <c r="G5" s="109"/>
      <c r="H5" s="110"/>
    </row>
    <row r="6" spans="1:8" ht="18" customHeight="1" x14ac:dyDescent="0.25">
      <c r="A6" s="93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14</v>
      </c>
      <c r="G6" s="109"/>
      <c r="H6" s="110"/>
    </row>
    <row r="7" spans="1:8" ht="41.25" customHeight="1" x14ac:dyDescent="0.25">
      <c r="A7" s="97"/>
      <c r="B7" s="9" t="s">
        <v>28</v>
      </c>
      <c r="C7" s="9" t="s">
        <v>27</v>
      </c>
      <c r="D7" s="10" t="s">
        <v>27</v>
      </c>
      <c r="E7" s="9" t="s">
        <v>66</v>
      </c>
      <c r="F7" s="10" t="s">
        <v>65</v>
      </c>
      <c r="G7" s="109"/>
      <c r="H7" s="110"/>
    </row>
    <row r="8" spans="1:8" ht="14.1" customHeight="1" x14ac:dyDescent="0.25">
      <c r="A8" s="94"/>
      <c r="B8" s="7" t="s">
        <v>16</v>
      </c>
      <c r="C8" s="7" t="s">
        <v>17</v>
      </c>
      <c r="D8" s="7" t="s">
        <v>17</v>
      </c>
      <c r="E8" s="7" t="s">
        <v>16</v>
      </c>
      <c r="F8" s="7" t="s">
        <v>17</v>
      </c>
      <c r="G8" s="109"/>
      <c r="H8" s="110"/>
    </row>
    <row r="9" spans="1:8" ht="12.75" hidden="1" customHeight="1" x14ac:dyDescent="0.25">
      <c r="A9" s="93" t="s">
        <v>18</v>
      </c>
      <c r="B9" s="11"/>
      <c r="C9" s="12" t="s">
        <v>9</v>
      </c>
      <c r="D9" s="4" t="s">
        <v>19</v>
      </c>
      <c r="E9" s="68"/>
      <c r="F9" s="4" t="s">
        <v>20</v>
      </c>
      <c r="G9" s="109"/>
      <c r="H9" s="110"/>
    </row>
    <row r="10" spans="1:8" ht="20.25" customHeight="1" x14ac:dyDescent="0.25">
      <c r="A10" s="97"/>
      <c r="B10" s="89" t="s">
        <v>67</v>
      </c>
      <c r="C10" s="89"/>
      <c r="D10" s="89" t="s">
        <v>9</v>
      </c>
      <c r="E10" s="69"/>
      <c r="F10" s="89" t="s">
        <v>67</v>
      </c>
      <c r="G10" s="109"/>
      <c r="H10" s="110"/>
    </row>
    <row r="11" spans="1:8" ht="15.75" customHeight="1" x14ac:dyDescent="0.25">
      <c r="A11" s="97"/>
      <c r="B11" s="81"/>
      <c r="C11" s="81"/>
      <c r="D11" s="81"/>
      <c r="E11" s="69"/>
      <c r="F11" s="81"/>
      <c r="G11" s="109"/>
      <c r="H11" s="110"/>
    </row>
    <row r="12" spans="1:8" x14ac:dyDescent="0.25">
      <c r="A12" s="97"/>
      <c r="B12" s="82"/>
      <c r="C12" s="82"/>
      <c r="D12" s="82"/>
      <c r="E12" s="69"/>
      <c r="F12" s="82"/>
      <c r="G12" s="109"/>
      <c r="H12" s="110"/>
    </row>
    <row r="13" spans="1:8" ht="22.5" customHeight="1" x14ac:dyDescent="0.25">
      <c r="A13" s="94"/>
      <c r="B13" s="7" t="s">
        <v>23</v>
      </c>
      <c r="C13" s="7"/>
      <c r="D13" s="7" t="s">
        <v>24</v>
      </c>
      <c r="E13" s="103"/>
      <c r="F13" s="7" t="s">
        <v>25</v>
      </c>
      <c r="G13" s="109"/>
      <c r="H13" s="110"/>
    </row>
    <row r="14" spans="1:8" ht="28.5" x14ac:dyDescent="0.25">
      <c r="A14" s="5" t="s">
        <v>26</v>
      </c>
      <c r="B14" s="15" t="s">
        <v>65</v>
      </c>
      <c r="C14" s="15" t="s">
        <v>69</v>
      </c>
      <c r="D14" s="15" t="s">
        <v>65</v>
      </c>
      <c r="E14" s="15" t="s">
        <v>27</v>
      </c>
      <c r="F14" s="15" t="s">
        <v>71</v>
      </c>
      <c r="G14" s="109"/>
      <c r="H14" s="110"/>
    </row>
    <row r="15" spans="1:8" ht="22.5" customHeight="1" x14ac:dyDescent="0.25">
      <c r="A15" s="93" t="s">
        <v>29</v>
      </c>
      <c r="B15" s="98"/>
      <c r="C15" s="98"/>
      <c r="D15" s="89"/>
      <c r="E15" s="64"/>
      <c r="F15" s="98"/>
      <c r="G15" s="109"/>
      <c r="H15" s="110"/>
    </row>
    <row r="16" spans="1:8" ht="28.5" customHeight="1" x14ac:dyDescent="0.25">
      <c r="A16" s="97"/>
      <c r="B16" s="78"/>
      <c r="C16" s="78"/>
      <c r="D16" s="81"/>
      <c r="E16" s="78"/>
      <c r="F16" s="78"/>
      <c r="G16" s="109"/>
      <c r="H16" s="110"/>
    </row>
    <row r="17" spans="1:8" ht="7.5" hidden="1" customHeight="1" x14ac:dyDescent="0.25">
      <c r="A17" s="94"/>
      <c r="B17" s="79"/>
      <c r="C17" s="79"/>
      <c r="D17" s="82"/>
      <c r="E17" s="79"/>
      <c r="F17" s="79"/>
      <c r="G17" s="109"/>
      <c r="H17" s="110"/>
    </row>
    <row r="18" spans="1:8" ht="26.25" customHeight="1" x14ac:dyDescent="0.25">
      <c r="A18" s="93" t="s">
        <v>30</v>
      </c>
      <c r="B18" s="60"/>
      <c r="C18" s="62" t="s">
        <v>72</v>
      </c>
      <c r="D18" s="64"/>
      <c r="E18" s="64"/>
      <c r="F18" s="62" t="s">
        <v>70</v>
      </c>
      <c r="G18" s="109"/>
      <c r="H18" s="110"/>
    </row>
    <row r="19" spans="1:8" ht="6" customHeight="1" thickBot="1" x14ac:dyDescent="0.3">
      <c r="A19" s="94"/>
      <c r="B19" s="95"/>
      <c r="C19" s="96"/>
      <c r="D19" s="79"/>
      <c r="E19" s="79"/>
      <c r="F19" s="96"/>
      <c r="G19" s="111"/>
      <c r="H19" s="112"/>
    </row>
    <row r="20" spans="1:8" x14ac:dyDescent="0.25">
      <c r="A20"/>
      <c r="B20" s="16" t="s">
        <v>32</v>
      </c>
      <c r="C20" s="16" t="s">
        <v>33</v>
      </c>
      <c r="D20" s="16" t="s">
        <v>34</v>
      </c>
      <c r="E20"/>
      <c r="F20"/>
      <c r="G20"/>
      <c r="H20"/>
    </row>
  </sheetData>
  <mergeCells count="21">
    <mergeCell ref="E9:E13"/>
    <mergeCell ref="B10:B12"/>
    <mergeCell ref="C10:C12"/>
    <mergeCell ref="D10:D12"/>
    <mergeCell ref="F10:F12"/>
    <mergeCell ref="G1:H19"/>
    <mergeCell ref="A18:A19"/>
    <mergeCell ref="B18:B19"/>
    <mergeCell ref="C18:C19"/>
    <mergeCell ref="D18:D19"/>
    <mergeCell ref="E18:E19"/>
    <mergeCell ref="F18:F19"/>
    <mergeCell ref="A15:A17"/>
    <mergeCell ref="B15:B17"/>
    <mergeCell ref="C15:C17"/>
    <mergeCell ref="D15:D17"/>
    <mergeCell ref="E15:E17"/>
    <mergeCell ref="F15:F17"/>
    <mergeCell ref="A1:A2"/>
    <mergeCell ref="A6:A8"/>
    <mergeCell ref="A9:A13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03
&amp;"Cera ROB Regular,Fett"&amp;10&amp;K00+000
</oddHeader>
    <oddFooter>&amp;Rstand &amp;"-,Fett"&amp;D&amp;"-,Standard"
Änderungen vorbehalten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AFA0-14C7-4E60-B7D2-AC0C757804D9}">
  <sheetPr codeName="Tabelle4"/>
  <dimension ref="A1:H20"/>
  <sheetViews>
    <sheetView view="pageLayout" zoomScale="130" zoomScaleNormal="134" zoomScalePageLayoutView="130" workbookViewId="0">
      <selection activeCell="B3" sqref="B3:F19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102"/>
      <c r="B2" s="3">
        <v>46048</v>
      </c>
      <c r="C2" s="3">
        <f t="shared" ref="C2:H2" si="0">B2+1</f>
        <v>46049</v>
      </c>
      <c r="D2" s="3">
        <f t="shared" si="0"/>
        <v>46050</v>
      </c>
      <c r="E2" s="3">
        <f t="shared" si="0"/>
        <v>46051</v>
      </c>
      <c r="F2" s="3">
        <f t="shared" si="0"/>
        <v>46052</v>
      </c>
      <c r="G2" s="3">
        <f t="shared" si="0"/>
        <v>46053</v>
      </c>
      <c r="H2" s="3">
        <f t="shared" si="0"/>
        <v>46054</v>
      </c>
    </row>
    <row r="3" spans="1:8" ht="29.25" customHeight="1" x14ac:dyDescent="0.25">
      <c r="A3" s="1" t="s">
        <v>7</v>
      </c>
      <c r="B3" s="113" t="s">
        <v>73</v>
      </c>
      <c r="C3" s="114"/>
      <c r="D3" s="114"/>
      <c r="E3" s="114"/>
      <c r="F3" s="115"/>
      <c r="G3" s="4" t="s">
        <v>40</v>
      </c>
      <c r="H3" s="4" t="s">
        <v>74</v>
      </c>
    </row>
    <row r="4" spans="1:8" ht="28.15" customHeight="1" x14ac:dyDescent="0.25">
      <c r="A4" s="5" t="s">
        <v>8</v>
      </c>
      <c r="B4" s="116"/>
      <c r="C4" s="117"/>
      <c r="D4" s="117"/>
      <c r="E4" s="117"/>
      <c r="F4" s="118"/>
      <c r="G4" s="7"/>
      <c r="H4" s="7"/>
    </row>
    <row r="5" spans="1:8" ht="18" customHeight="1" x14ac:dyDescent="0.25">
      <c r="A5" s="5" t="s">
        <v>10</v>
      </c>
      <c r="B5" s="116"/>
      <c r="C5" s="117"/>
      <c r="D5" s="117"/>
      <c r="E5" s="117"/>
      <c r="F5" s="118"/>
      <c r="G5" s="7"/>
      <c r="H5" s="6"/>
    </row>
    <row r="6" spans="1:8" ht="18" customHeight="1" x14ac:dyDescent="0.25">
      <c r="A6" s="93" t="s">
        <v>11</v>
      </c>
      <c r="B6" s="116"/>
      <c r="C6" s="117"/>
      <c r="D6" s="117"/>
      <c r="E6" s="117"/>
      <c r="F6" s="118"/>
      <c r="G6" s="8"/>
      <c r="H6" s="8" t="s">
        <v>76</v>
      </c>
    </row>
    <row r="7" spans="1:8" ht="41.25" customHeight="1" x14ac:dyDescent="0.25">
      <c r="A7" s="97"/>
      <c r="B7" s="116"/>
      <c r="C7" s="117"/>
      <c r="D7" s="117"/>
      <c r="E7" s="117"/>
      <c r="F7" s="118"/>
      <c r="G7" s="6"/>
      <c r="H7" s="10" t="s">
        <v>75</v>
      </c>
    </row>
    <row r="8" spans="1:8" ht="14.1" customHeight="1" x14ac:dyDescent="0.25">
      <c r="A8" s="94"/>
      <c r="B8" s="116"/>
      <c r="C8" s="117"/>
      <c r="D8" s="117"/>
      <c r="E8" s="117"/>
      <c r="F8" s="118"/>
      <c r="G8" s="6"/>
      <c r="H8" s="7" t="s">
        <v>17</v>
      </c>
    </row>
    <row r="9" spans="1:8" ht="12.75" hidden="1" customHeight="1" x14ac:dyDescent="0.25">
      <c r="A9" s="93" t="s">
        <v>18</v>
      </c>
      <c r="B9" s="116"/>
      <c r="C9" s="117"/>
      <c r="D9" s="117"/>
      <c r="E9" s="117"/>
      <c r="F9" s="118"/>
      <c r="G9" s="104"/>
      <c r="H9" s="13" t="s">
        <v>21</v>
      </c>
    </row>
    <row r="10" spans="1:8" ht="20.25" customHeight="1" x14ac:dyDescent="0.25">
      <c r="A10" s="97"/>
      <c r="B10" s="116"/>
      <c r="C10" s="117"/>
      <c r="D10" s="117"/>
      <c r="E10" s="117"/>
      <c r="F10" s="118"/>
      <c r="G10" s="105"/>
      <c r="H10" s="14" t="s">
        <v>22</v>
      </c>
    </row>
    <row r="11" spans="1:8" ht="15.75" customHeight="1" x14ac:dyDescent="0.25">
      <c r="A11" s="97"/>
      <c r="B11" s="116"/>
      <c r="C11" s="117"/>
      <c r="D11" s="117"/>
      <c r="E11" s="117"/>
      <c r="F11" s="118"/>
      <c r="G11" s="105"/>
      <c r="H11" s="89"/>
    </row>
    <row r="12" spans="1:8" x14ac:dyDescent="0.25">
      <c r="A12" s="97"/>
      <c r="B12" s="116"/>
      <c r="C12" s="117"/>
      <c r="D12" s="117"/>
      <c r="E12" s="117"/>
      <c r="F12" s="118"/>
      <c r="G12" s="106"/>
      <c r="H12" s="81"/>
    </row>
    <row r="13" spans="1:8" ht="22.5" customHeight="1" x14ac:dyDescent="0.25">
      <c r="A13" s="94"/>
      <c r="B13" s="116"/>
      <c r="C13" s="117"/>
      <c r="D13" s="117"/>
      <c r="E13" s="117"/>
      <c r="F13" s="118"/>
      <c r="G13" s="6"/>
      <c r="H13" s="82"/>
    </row>
    <row r="14" spans="1:8" ht="28.5" x14ac:dyDescent="0.25">
      <c r="A14" s="5" t="s">
        <v>26</v>
      </c>
      <c r="B14" s="116"/>
      <c r="C14" s="117"/>
      <c r="D14" s="117"/>
      <c r="E14" s="117"/>
      <c r="F14" s="118"/>
      <c r="G14" s="15" t="s">
        <v>71</v>
      </c>
      <c r="H14" s="15" t="s">
        <v>71</v>
      </c>
    </row>
    <row r="15" spans="1:8" ht="22.5" customHeight="1" x14ac:dyDescent="0.25">
      <c r="A15" s="93" t="s">
        <v>29</v>
      </c>
      <c r="B15" s="116"/>
      <c r="C15" s="117"/>
      <c r="D15" s="117"/>
      <c r="E15" s="117"/>
      <c r="F15" s="118"/>
      <c r="G15" s="68"/>
      <c r="H15" s="101"/>
    </row>
    <row r="16" spans="1:8" ht="28.5" customHeight="1" x14ac:dyDescent="0.25">
      <c r="A16" s="97"/>
      <c r="B16" s="116"/>
      <c r="C16" s="117"/>
      <c r="D16" s="117"/>
      <c r="E16" s="117"/>
      <c r="F16" s="118"/>
      <c r="G16" s="99"/>
      <c r="H16" s="101"/>
    </row>
    <row r="17" spans="1:8" ht="7.5" hidden="1" customHeight="1" x14ac:dyDescent="0.25">
      <c r="A17" s="94"/>
      <c r="B17" s="116"/>
      <c r="C17" s="117"/>
      <c r="D17" s="117"/>
      <c r="E17" s="117"/>
      <c r="F17" s="118"/>
      <c r="G17" s="100"/>
      <c r="H17" s="101"/>
    </row>
    <row r="18" spans="1:8" ht="26.25" customHeight="1" x14ac:dyDescent="0.25">
      <c r="A18" s="93" t="s">
        <v>30</v>
      </c>
      <c r="B18" s="116"/>
      <c r="C18" s="117"/>
      <c r="D18" s="117"/>
      <c r="E18" s="117"/>
      <c r="F18" s="118"/>
      <c r="G18" s="91"/>
      <c r="H18" s="91"/>
    </row>
    <row r="19" spans="1:8" ht="6" customHeight="1" thickBot="1" x14ac:dyDescent="0.3">
      <c r="A19" s="94"/>
      <c r="B19" s="119"/>
      <c r="C19" s="120"/>
      <c r="D19" s="120"/>
      <c r="E19" s="120"/>
      <c r="F19" s="121"/>
      <c r="G19" s="92"/>
      <c r="H19" s="92"/>
    </row>
    <row r="20" spans="1:8" x14ac:dyDescent="0.25">
      <c r="A20"/>
      <c r="B20" s="16" t="s">
        <v>32</v>
      </c>
      <c r="C20" s="16" t="s">
        <v>33</v>
      </c>
      <c r="D20" s="16" t="s">
        <v>34</v>
      </c>
      <c r="E20"/>
      <c r="F20"/>
      <c r="G20"/>
      <c r="H20"/>
    </row>
  </sheetData>
  <mergeCells count="12">
    <mergeCell ref="A1:A2"/>
    <mergeCell ref="A6:A8"/>
    <mergeCell ref="A9:A13"/>
    <mergeCell ref="G9:G12"/>
    <mergeCell ref="G18:G19"/>
    <mergeCell ref="H18:H19"/>
    <mergeCell ref="B3:F19"/>
    <mergeCell ref="A18:A19"/>
    <mergeCell ref="H11:H13"/>
    <mergeCell ref="A15:A17"/>
    <mergeCell ref="G15:G17"/>
    <mergeCell ref="H15:H17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04
&amp;"Cera ROB Regular,Fett"&amp;10&amp;K00+000
</oddHeader>
    <oddFooter>&amp;Rstand &amp;"-,Fett"&amp;D&amp;"-,Standard"
Änderungen vorbehalten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8F64-6824-4ABA-9D15-1C724D36C9CB}">
  <sheetPr codeName="Tabelle5"/>
  <dimension ref="A1:H20"/>
  <sheetViews>
    <sheetView view="pageLayout" zoomScale="130" zoomScaleNormal="134" zoomScalePageLayoutView="130" workbookViewId="0">
      <selection activeCell="G3" sqref="G3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102"/>
      <c r="B2" s="3">
        <v>46055</v>
      </c>
      <c r="C2" s="3">
        <f t="shared" ref="C2:H2" si="0">B2+1</f>
        <v>46056</v>
      </c>
      <c r="D2" s="3">
        <f t="shared" si="0"/>
        <v>46057</v>
      </c>
      <c r="E2" s="3">
        <f t="shared" si="0"/>
        <v>46058</v>
      </c>
      <c r="F2" s="3">
        <f t="shared" si="0"/>
        <v>46059</v>
      </c>
      <c r="G2" s="3">
        <f t="shared" si="0"/>
        <v>46060</v>
      </c>
      <c r="H2" s="3">
        <f t="shared" si="0"/>
        <v>46061</v>
      </c>
    </row>
    <row r="3" spans="1:8" ht="29.25" customHeight="1" x14ac:dyDescent="0.25">
      <c r="A3" s="1" t="s">
        <v>7</v>
      </c>
      <c r="B3" s="4" t="s">
        <v>77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55</v>
      </c>
    </row>
    <row r="4" spans="1:8" ht="28.15" customHeight="1" x14ac:dyDescent="0.25">
      <c r="A4" s="5" t="s">
        <v>8</v>
      </c>
      <c r="B4" s="6" t="s">
        <v>9</v>
      </c>
      <c r="C4" s="7"/>
      <c r="D4" s="7"/>
      <c r="E4" s="6" t="s">
        <v>56</v>
      </c>
      <c r="F4" s="7"/>
      <c r="G4" s="7"/>
      <c r="H4" s="7"/>
    </row>
    <row r="5" spans="1:8" ht="18" customHeight="1" x14ac:dyDescent="0.25">
      <c r="A5" s="5" t="s">
        <v>10</v>
      </c>
      <c r="B5" s="7"/>
      <c r="C5" s="7"/>
      <c r="D5" s="7"/>
      <c r="E5" s="7"/>
      <c r="F5" s="7" t="s">
        <v>84</v>
      </c>
      <c r="G5" s="7"/>
      <c r="H5" s="6"/>
    </row>
    <row r="6" spans="1:8" ht="18" customHeight="1" x14ac:dyDescent="0.25">
      <c r="A6" s="93" t="s">
        <v>11</v>
      </c>
      <c r="B6" s="8" t="s">
        <v>14</v>
      </c>
      <c r="C6" s="8" t="s">
        <v>13</v>
      </c>
      <c r="D6" s="8" t="s">
        <v>14</v>
      </c>
      <c r="E6" s="8" t="s">
        <v>15</v>
      </c>
      <c r="F6" s="8" t="s">
        <v>14</v>
      </c>
      <c r="G6" s="8"/>
      <c r="H6" s="8" t="s">
        <v>14</v>
      </c>
    </row>
    <row r="7" spans="1:8" ht="41.25" customHeight="1" x14ac:dyDescent="0.25">
      <c r="A7" s="97"/>
      <c r="B7" s="9" t="s">
        <v>71</v>
      </c>
      <c r="C7" s="9" t="s">
        <v>79</v>
      </c>
      <c r="D7" s="10" t="s">
        <v>80</v>
      </c>
      <c r="E7" s="9" t="s">
        <v>78</v>
      </c>
      <c r="F7" s="9" t="s">
        <v>79</v>
      </c>
      <c r="G7" s="6"/>
      <c r="H7" s="9" t="s">
        <v>71</v>
      </c>
    </row>
    <row r="8" spans="1:8" ht="14.1" customHeight="1" x14ac:dyDescent="0.25">
      <c r="A8" s="94"/>
      <c r="B8" s="7" t="s">
        <v>16</v>
      </c>
      <c r="C8" s="7" t="s">
        <v>17</v>
      </c>
      <c r="D8" s="7" t="s">
        <v>17</v>
      </c>
      <c r="E8" s="7" t="s">
        <v>16</v>
      </c>
      <c r="F8" s="7" t="s">
        <v>17</v>
      </c>
      <c r="G8" s="6"/>
      <c r="H8" s="7" t="s">
        <v>17</v>
      </c>
    </row>
    <row r="9" spans="1:8" ht="12.75" hidden="1" customHeight="1" x14ac:dyDescent="0.25">
      <c r="A9" s="93" t="s">
        <v>18</v>
      </c>
      <c r="B9" s="11"/>
      <c r="C9" s="12" t="s">
        <v>9</v>
      </c>
      <c r="D9" s="4" t="s">
        <v>19</v>
      </c>
      <c r="E9" s="68"/>
      <c r="F9" s="4" t="s">
        <v>20</v>
      </c>
      <c r="G9" s="104"/>
      <c r="H9" s="13" t="s">
        <v>21</v>
      </c>
    </row>
    <row r="10" spans="1:8" ht="20.25" customHeight="1" x14ac:dyDescent="0.25">
      <c r="A10" s="97"/>
      <c r="B10" s="89" t="s">
        <v>9</v>
      </c>
      <c r="C10" s="89"/>
      <c r="D10" s="89" t="s">
        <v>9</v>
      </c>
      <c r="E10" s="69"/>
      <c r="F10" s="89" t="s">
        <v>83</v>
      </c>
      <c r="G10" s="105"/>
      <c r="H10" s="14" t="s">
        <v>22</v>
      </c>
    </row>
    <row r="11" spans="1:8" ht="15.75" customHeight="1" x14ac:dyDescent="0.25">
      <c r="A11" s="97"/>
      <c r="B11" s="81"/>
      <c r="C11" s="81"/>
      <c r="D11" s="81"/>
      <c r="E11" s="69"/>
      <c r="F11" s="81"/>
      <c r="G11" s="105"/>
      <c r="H11" s="89" t="s">
        <v>78</v>
      </c>
    </row>
    <row r="12" spans="1:8" x14ac:dyDescent="0.25">
      <c r="A12" s="97"/>
      <c r="B12" s="82"/>
      <c r="C12" s="82"/>
      <c r="D12" s="82"/>
      <c r="E12" s="69"/>
      <c r="F12" s="82"/>
      <c r="G12" s="106"/>
      <c r="H12" s="81"/>
    </row>
    <row r="13" spans="1:8" ht="22.5" customHeight="1" x14ac:dyDescent="0.25">
      <c r="A13" s="94"/>
      <c r="B13" s="7" t="s">
        <v>23</v>
      </c>
      <c r="C13" s="7"/>
      <c r="D13" s="7" t="s">
        <v>24</v>
      </c>
      <c r="E13" s="103"/>
      <c r="F13" s="7" t="s">
        <v>25</v>
      </c>
      <c r="G13" s="6"/>
      <c r="H13" s="82"/>
    </row>
    <row r="14" spans="1:8" ht="35.25" customHeight="1" x14ac:dyDescent="0.25">
      <c r="A14" s="5" t="s">
        <v>26</v>
      </c>
      <c r="B14" s="15" t="s">
        <v>85</v>
      </c>
      <c r="C14" s="15" t="s">
        <v>80</v>
      </c>
      <c r="D14" s="15" t="s">
        <v>71</v>
      </c>
      <c r="E14" s="15" t="s">
        <v>79</v>
      </c>
      <c r="F14" s="15" t="s">
        <v>80</v>
      </c>
      <c r="G14" s="15" t="s">
        <v>79</v>
      </c>
      <c r="H14" s="15" t="s">
        <v>81</v>
      </c>
    </row>
    <row r="15" spans="1:8" ht="22.5" customHeight="1" x14ac:dyDescent="0.25">
      <c r="A15" s="93" t="s">
        <v>29</v>
      </c>
      <c r="B15" s="98"/>
      <c r="C15" s="98"/>
      <c r="D15" s="89"/>
      <c r="E15" s="64"/>
      <c r="F15" s="98"/>
      <c r="G15" s="68"/>
      <c r="H15" s="101"/>
    </row>
    <row r="16" spans="1:8" ht="28.5" customHeight="1" x14ac:dyDescent="0.25">
      <c r="A16" s="97"/>
      <c r="B16" s="78"/>
      <c r="C16" s="78"/>
      <c r="D16" s="81"/>
      <c r="E16" s="78"/>
      <c r="F16" s="78"/>
      <c r="G16" s="99"/>
      <c r="H16" s="101"/>
    </row>
    <row r="17" spans="1:8" ht="7.5" hidden="1" customHeight="1" x14ac:dyDescent="0.25">
      <c r="A17" s="94"/>
      <c r="B17" s="79"/>
      <c r="C17" s="79"/>
      <c r="D17" s="82"/>
      <c r="E17" s="79"/>
      <c r="F17" s="79"/>
      <c r="G17" s="100"/>
      <c r="H17" s="101"/>
    </row>
    <row r="18" spans="1:8" ht="26.25" customHeight="1" x14ac:dyDescent="0.25">
      <c r="A18" s="93" t="s">
        <v>30</v>
      </c>
      <c r="B18" s="60"/>
      <c r="C18" s="62" t="s">
        <v>82</v>
      </c>
      <c r="D18" s="64"/>
      <c r="E18" s="64"/>
      <c r="F18" s="62" t="s">
        <v>86</v>
      </c>
      <c r="G18" s="91"/>
      <c r="H18" s="91"/>
    </row>
    <row r="19" spans="1:8" ht="6" customHeight="1" thickBot="1" x14ac:dyDescent="0.3">
      <c r="A19" s="94"/>
      <c r="B19" s="95"/>
      <c r="C19" s="96"/>
      <c r="D19" s="79"/>
      <c r="E19" s="79"/>
      <c r="F19" s="96"/>
      <c r="G19" s="92"/>
      <c r="H19" s="92"/>
    </row>
    <row r="20" spans="1:8" x14ac:dyDescent="0.25">
      <c r="A20"/>
      <c r="B20" s="16" t="s">
        <v>32</v>
      </c>
      <c r="C20" s="16" t="s">
        <v>33</v>
      </c>
      <c r="D20" s="16" t="s">
        <v>34</v>
      </c>
      <c r="E20"/>
      <c r="F20"/>
      <c r="G20"/>
      <c r="H20"/>
    </row>
  </sheetData>
  <mergeCells count="26">
    <mergeCell ref="G18:G19"/>
    <mergeCell ref="H18:H19"/>
    <mergeCell ref="A18:A19"/>
    <mergeCell ref="B18:B19"/>
    <mergeCell ref="C18:C19"/>
    <mergeCell ref="D18:D19"/>
    <mergeCell ref="E18:E19"/>
    <mergeCell ref="F18:F19"/>
    <mergeCell ref="H11:H13"/>
    <mergeCell ref="A15:A17"/>
    <mergeCell ref="B15:B17"/>
    <mergeCell ref="C15:C17"/>
    <mergeCell ref="D15:D17"/>
    <mergeCell ref="E15:E17"/>
    <mergeCell ref="F15:F17"/>
    <mergeCell ref="G15:G17"/>
    <mergeCell ref="H15:H17"/>
    <mergeCell ref="A1:A2"/>
    <mergeCell ref="A6:A8"/>
    <mergeCell ref="A9:A13"/>
    <mergeCell ref="E9:E13"/>
    <mergeCell ref="G9:G12"/>
    <mergeCell ref="B10:B12"/>
    <mergeCell ref="C10:C12"/>
    <mergeCell ref="D10:D12"/>
    <mergeCell ref="F10:F12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06
&amp;"Cera ROB Regular,Fett"&amp;10&amp;K00+000
</oddHeader>
    <oddFooter>&amp;Rstand &amp;"-,Fett"&amp;D&amp;"-,Standard"
Änderungen vorbehalten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8555-7CED-41C9-A534-4E7C3E4A7329}">
  <sheetPr codeName="Tabelle6"/>
  <dimension ref="A1:H20"/>
  <sheetViews>
    <sheetView view="pageLayout" zoomScale="130" zoomScaleNormal="134" zoomScalePageLayoutView="130" workbookViewId="0">
      <selection activeCell="C10" sqref="C10:C12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102"/>
      <c r="B2" s="3">
        <v>46062</v>
      </c>
      <c r="C2" s="3">
        <f t="shared" ref="C2:H2" si="0">B2+1</f>
        <v>46063</v>
      </c>
      <c r="D2" s="3">
        <f t="shared" si="0"/>
        <v>46064</v>
      </c>
      <c r="E2" s="3">
        <f t="shared" si="0"/>
        <v>46065</v>
      </c>
      <c r="F2" s="3">
        <f t="shared" si="0"/>
        <v>46066</v>
      </c>
      <c r="G2" s="3">
        <f t="shared" si="0"/>
        <v>46067</v>
      </c>
      <c r="H2" s="3">
        <f t="shared" si="0"/>
        <v>46068</v>
      </c>
    </row>
    <row r="3" spans="1:8" ht="29.25" customHeight="1" x14ac:dyDescent="0.25">
      <c r="A3" s="1" t="s">
        <v>7</v>
      </c>
      <c r="B3" s="4" t="s">
        <v>51</v>
      </c>
      <c r="C3" s="4" t="s">
        <v>93</v>
      </c>
      <c r="D3" s="4" t="s">
        <v>87</v>
      </c>
      <c r="E3" s="4" t="s">
        <v>88</v>
      </c>
      <c r="F3" s="4" t="s">
        <v>50</v>
      </c>
      <c r="G3" s="4" t="s">
        <v>40</v>
      </c>
      <c r="H3" s="4" t="s">
        <v>55</v>
      </c>
    </row>
    <row r="4" spans="1:8" ht="28.15" customHeight="1" x14ac:dyDescent="0.25">
      <c r="A4" s="5" t="s">
        <v>8</v>
      </c>
      <c r="B4" s="6" t="s">
        <v>9</v>
      </c>
      <c r="C4" s="7"/>
      <c r="D4" s="7"/>
      <c r="E4" s="6" t="s">
        <v>56</v>
      </c>
      <c r="F4" s="7"/>
      <c r="G4" s="7"/>
      <c r="H4" s="7"/>
    </row>
    <row r="5" spans="1:8" ht="18" customHeight="1" x14ac:dyDescent="0.25">
      <c r="A5" s="5" t="s">
        <v>10</v>
      </c>
      <c r="B5" s="7"/>
      <c r="C5" s="7"/>
      <c r="D5" s="7"/>
      <c r="E5" s="7"/>
      <c r="F5" s="7" t="s">
        <v>84</v>
      </c>
      <c r="G5" s="7"/>
      <c r="H5" s="6"/>
    </row>
    <row r="6" spans="1:8" ht="18" customHeight="1" x14ac:dyDescent="0.25">
      <c r="A6" s="93" t="s">
        <v>11</v>
      </c>
      <c r="B6" s="8" t="s">
        <v>14</v>
      </c>
      <c r="C6" s="8" t="s">
        <v>13</v>
      </c>
      <c r="D6" s="8" t="s">
        <v>14</v>
      </c>
      <c r="E6" s="8" t="s">
        <v>15</v>
      </c>
      <c r="F6" s="8" t="s">
        <v>14</v>
      </c>
      <c r="G6" s="8"/>
      <c r="H6" s="8" t="s">
        <v>14</v>
      </c>
    </row>
    <row r="7" spans="1:8" ht="41.25" customHeight="1" x14ac:dyDescent="0.25">
      <c r="A7" s="97"/>
      <c r="B7" s="9" t="s">
        <v>79</v>
      </c>
      <c r="C7" s="9" t="s">
        <v>71</v>
      </c>
      <c r="D7" s="10" t="s">
        <v>90</v>
      </c>
      <c r="E7" s="9" t="s">
        <v>91</v>
      </c>
      <c r="F7" s="9" t="s">
        <v>71</v>
      </c>
      <c r="G7" s="6"/>
      <c r="H7" s="9" t="s">
        <v>80</v>
      </c>
    </row>
    <row r="8" spans="1:8" ht="14.1" customHeight="1" x14ac:dyDescent="0.25">
      <c r="A8" s="94"/>
      <c r="B8" s="7" t="s">
        <v>17</v>
      </c>
      <c r="C8" s="7" t="s">
        <v>17</v>
      </c>
      <c r="D8" s="7" t="s">
        <v>17</v>
      </c>
      <c r="E8" s="7" t="s">
        <v>16</v>
      </c>
      <c r="F8" s="7" t="s">
        <v>17</v>
      </c>
      <c r="G8" s="6"/>
      <c r="H8" s="7" t="s">
        <v>17</v>
      </c>
    </row>
    <row r="9" spans="1:8" ht="12.75" hidden="1" customHeight="1" x14ac:dyDescent="0.25">
      <c r="A9" s="93" t="s">
        <v>18</v>
      </c>
      <c r="B9" s="11"/>
      <c r="C9" s="12" t="s">
        <v>9</v>
      </c>
      <c r="D9" s="4" t="s">
        <v>19</v>
      </c>
      <c r="E9" s="68"/>
      <c r="F9" s="4" t="s">
        <v>20</v>
      </c>
      <c r="G9" s="104"/>
      <c r="H9" s="13" t="s">
        <v>21</v>
      </c>
    </row>
    <row r="10" spans="1:8" ht="20.25" customHeight="1" x14ac:dyDescent="0.25">
      <c r="A10" s="97"/>
      <c r="B10" s="89" t="s">
        <v>9</v>
      </c>
      <c r="C10" s="89"/>
      <c r="D10" s="89" t="s">
        <v>91</v>
      </c>
      <c r="E10" s="69"/>
      <c r="F10" s="89" t="s">
        <v>83</v>
      </c>
      <c r="G10" s="105"/>
      <c r="H10" s="14" t="s">
        <v>22</v>
      </c>
    </row>
    <row r="11" spans="1:8" ht="15.75" customHeight="1" x14ac:dyDescent="0.25">
      <c r="A11" s="97"/>
      <c r="B11" s="81"/>
      <c r="C11" s="81"/>
      <c r="D11" s="81"/>
      <c r="E11" s="69"/>
      <c r="F11" s="81"/>
      <c r="G11" s="105"/>
      <c r="H11" s="89" t="s">
        <v>91</v>
      </c>
    </row>
    <row r="12" spans="1:8" x14ac:dyDescent="0.25">
      <c r="A12" s="97"/>
      <c r="B12" s="82"/>
      <c r="C12" s="82"/>
      <c r="D12" s="82"/>
      <c r="E12" s="69"/>
      <c r="F12" s="82"/>
      <c r="G12" s="106"/>
      <c r="H12" s="81"/>
    </row>
    <row r="13" spans="1:8" ht="22.5" customHeight="1" x14ac:dyDescent="0.25">
      <c r="A13" s="94"/>
      <c r="B13" s="7" t="s">
        <v>23</v>
      </c>
      <c r="C13" s="7"/>
      <c r="D13" s="7" t="s">
        <v>24</v>
      </c>
      <c r="E13" s="103"/>
      <c r="F13" s="7" t="s">
        <v>25</v>
      </c>
      <c r="G13" s="6"/>
      <c r="H13" s="82"/>
    </row>
    <row r="14" spans="1:8" ht="35.25" customHeight="1" x14ac:dyDescent="0.25">
      <c r="A14" s="5" t="s">
        <v>26</v>
      </c>
      <c r="B14" s="15" t="s">
        <v>80</v>
      </c>
      <c r="C14" s="15" t="s">
        <v>94</v>
      </c>
      <c r="D14" s="15" t="s">
        <v>79</v>
      </c>
      <c r="E14" s="15" t="s">
        <v>89</v>
      </c>
      <c r="F14" s="15" t="s">
        <v>80</v>
      </c>
      <c r="G14" s="15" t="s">
        <v>71</v>
      </c>
      <c r="H14" s="15" t="s">
        <v>92</v>
      </c>
    </row>
    <row r="15" spans="1:8" ht="22.5" customHeight="1" x14ac:dyDescent="0.25">
      <c r="A15" s="93" t="s">
        <v>29</v>
      </c>
      <c r="B15" s="98"/>
      <c r="C15" s="98"/>
      <c r="D15" s="89"/>
      <c r="E15" s="64"/>
      <c r="F15" s="98"/>
      <c r="G15" s="68"/>
      <c r="H15" s="101"/>
    </row>
    <row r="16" spans="1:8" ht="28.5" customHeight="1" x14ac:dyDescent="0.25">
      <c r="A16" s="97"/>
      <c r="B16" s="78"/>
      <c r="C16" s="78"/>
      <c r="D16" s="81"/>
      <c r="E16" s="78"/>
      <c r="F16" s="78"/>
      <c r="G16" s="99"/>
      <c r="H16" s="101"/>
    </row>
    <row r="17" spans="1:8" ht="7.5" hidden="1" customHeight="1" x14ac:dyDescent="0.25">
      <c r="A17" s="94"/>
      <c r="B17" s="79"/>
      <c r="C17" s="79"/>
      <c r="D17" s="82"/>
      <c r="E17" s="79"/>
      <c r="F17" s="79"/>
      <c r="G17" s="100"/>
      <c r="H17" s="101"/>
    </row>
    <row r="18" spans="1:8" ht="26.25" customHeight="1" x14ac:dyDescent="0.25">
      <c r="A18" s="93" t="s">
        <v>30</v>
      </c>
      <c r="B18" s="60"/>
      <c r="C18" s="62" t="s">
        <v>80</v>
      </c>
      <c r="D18" s="64"/>
      <c r="E18" s="64"/>
      <c r="F18" s="62" t="s">
        <v>82</v>
      </c>
      <c r="G18" s="91"/>
      <c r="H18" s="91"/>
    </row>
    <row r="19" spans="1:8" ht="6" customHeight="1" thickBot="1" x14ac:dyDescent="0.3">
      <c r="A19" s="94"/>
      <c r="B19" s="95"/>
      <c r="C19" s="96"/>
      <c r="D19" s="79"/>
      <c r="E19" s="79"/>
      <c r="F19" s="96"/>
      <c r="G19" s="92"/>
      <c r="H19" s="92"/>
    </row>
    <row r="20" spans="1:8" x14ac:dyDescent="0.25">
      <c r="A20"/>
      <c r="B20" s="16" t="s">
        <v>32</v>
      </c>
      <c r="C20" s="16" t="s">
        <v>33</v>
      </c>
      <c r="D20" s="16" t="s">
        <v>34</v>
      </c>
      <c r="E20"/>
      <c r="F20"/>
      <c r="G20"/>
      <c r="H20"/>
    </row>
  </sheetData>
  <mergeCells count="26">
    <mergeCell ref="G18:G19"/>
    <mergeCell ref="H18:H19"/>
    <mergeCell ref="A18:A19"/>
    <mergeCell ref="B18:B19"/>
    <mergeCell ref="C18:C19"/>
    <mergeCell ref="D18:D19"/>
    <mergeCell ref="E18:E19"/>
    <mergeCell ref="F18:F19"/>
    <mergeCell ref="H11:H13"/>
    <mergeCell ref="A15:A17"/>
    <mergeCell ref="B15:B17"/>
    <mergeCell ref="C15:C17"/>
    <mergeCell ref="D15:D17"/>
    <mergeCell ref="E15:E17"/>
    <mergeCell ref="F15:F17"/>
    <mergeCell ref="G15:G17"/>
    <mergeCell ref="H15:H17"/>
    <mergeCell ref="A1:A2"/>
    <mergeCell ref="A6:A8"/>
    <mergeCell ref="A9:A13"/>
    <mergeCell ref="E9:E13"/>
    <mergeCell ref="G9:G12"/>
    <mergeCell ref="B10:B12"/>
    <mergeCell ref="C10:C12"/>
    <mergeCell ref="D10:D12"/>
    <mergeCell ref="F10:F12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07
&amp;"Cera ROB Regular,Fett"&amp;10&amp;K00+000
</oddHeader>
    <oddFooter>&amp;Rstand &amp;"-,Fett"&amp;D&amp;"-,Standard"
Änderungen vorbehalten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3B7D-06F8-4C45-A941-D415AD1C9C4C}">
  <sheetPr codeName="Tabelle7"/>
  <dimension ref="A1:H19"/>
  <sheetViews>
    <sheetView view="pageLayout" zoomScale="130" zoomScaleNormal="134" zoomScalePageLayoutView="130" workbookViewId="0">
      <selection activeCell="B3" sqref="B3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46069</v>
      </c>
      <c r="C2" s="23">
        <f t="shared" ref="C2:H2" si="0">B2+1</f>
        <v>46070</v>
      </c>
      <c r="D2" s="23">
        <f t="shared" si="0"/>
        <v>46071</v>
      </c>
      <c r="E2" s="23">
        <f t="shared" si="0"/>
        <v>46072</v>
      </c>
      <c r="F2" s="23">
        <f t="shared" si="0"/>
        <v>46073</v>
      </c>
      <c r="G2" s="23">
        <f t="shared" si="0"/>
        <v>46074</v>
      </c>
      <c r="H2" s="23">
        <f t="shared" si="0"/>
        <v>46075</v>
      </c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17</v>
      </c>
      <c r="C4" s="34" t="s">
        <v>17</v>
      </c>
      <c r="D4" s="34" t="s">
        <v>17</v>
      </c>
      <c r="E4" s="34" t="s">
        <v>16</v>
      </c>
      <c r="F4" s="34" t="s">
        <v>17</v>
      </c>
      <c r="G4" s="35"/>
      <c r="H4" s="36" t="s">
        <v>17</v>
      </c>
    </row>
    <row r="5" spans="1:8" ht="21.75" customHeight="1" x14ac:dyDescent="0.25">
      <c r="A5" s="75"/>
      <c r="B5" s="4" t="s">
        <v>97</v>
      </c>
      <c r="C5" s="8" t="s">
        <v>13</v>
      </c>
      <c r="D5" s="8" t="s">
        <v>14</v>
      </c>
      <c r="E5" s="8" t="s">
        <v>15</v>
      </c>
      <c r="F5" s="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102</v>
      </c>
      <c r="C6" s="19" t="s">
        <v>100</v>
      </c>
      <c r="D6" s="20" t="s">
        <v>100</v>
      </c>
      <c r="E6" s="19" t="s">
        <v>98</v>
      </c>
      <c r="F6" s="20" t="s">
        <v>99</v>
      </c>
      <c r="G6" s="21"/>
      <c r="H6" s="22" t="s">
        <v>80</v>
      </c>
    </row>
    <row r="7" spans="1:8" ht="21.75" customHeight="1" x14ac:dyDescent="0.25">
      <c r="A7" s="74" t="s">
        <v>18</v>
      </c>
      <c r="B7" s="34" t="s">
        <v>108</v>
      </c>
      <c r="C7" s="34"/>
      <c r="D7" s="34" t="s">
        <v>108</v>
      </c>
      <c r="E7" s="34"/>
      <c r="F7" s="34" t="s">
        <v>108</v>
      </c>
      <c r="G7" s="35"/>
      <c r="H7" s="36" t="s">
        <v>108</v>
      </c>
    </row>
    <row r="8" spans="1:8" ht="21.75" customHeight="1" x14ac:dyDescent="0.25">
      <c r="A8" s="75"/>
      <c r="B8" s="38" t="s">
        <v>106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98</v>
      </c>
      <c r="C9" s="89"/>
      <c r="D9" s="89" t="s">
        <v>9</v>
      </c>
      <c r="E9" s="68"/>
      <c r="F9" s="89" t="s">
        <v>57</v>
      </c>
      <c r="G9" s="104"/>
      <c r="H9" s="125" t="s">
        <v>57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126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127"/>
    </row>
    <row r="12" spans="1:8" ht="22.5" customHeight="1" x14ac:dyDescent="0.25">
      <c r="A12" s="28" t="s">
        <v>104</v>
      </c>
      <c r="B12" s="29" t="s">
        <v>95</v>
      </c>
      <c r="C12" s="29" t="s">
        <v>36</v>
      </c>
      <c r="D12" s="29" t="s">
        <v>96</v>
      </c>
      <c r="E12" s="29" t="s">
        <v>38</v>
      </c>
      <c r="F12" s="29" t="s">
        <v>39</v>
      </c>
      <c r="G12" s="29" t="s">
        <v>40</v>
      </c>
      <c r="H12" s="30" t="s">
        <v>55</v>
      </c>
    </row>
    <row r="13" spans="1:8" ht="35.25" customHeight="1" thickBot="1" x14ac:dyDescent="0.3">
      <c r="A13" s="31" t="s">
        <v>105</v>
      </c>
      <c r="B13" s="32" t="s">
        <v>99</v>
      </c>
      <c r="C13" s="32" t="s">
        <v>71</v>
      </c>
      <c r="D13" s="32" t="s">
        <v>99</v>
      </c>
      <c r="E13" s="32" t="s">
        <v>100</v>
      </c>
      <c r="F13" s="32" t="s">
        <v>101</v>
      </c>
      <c r="G13" s="32" t="s">
        <v>71</v>
      </c>
      <c r="H13" s="33" t="s">
        <v>103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82</v>
      </c>
      <c r="D17" s="64"/>
      <c r="E17" s="64"/>
      <c r="F17" s="62" t="s">
        <v>80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08
&amp;"Cera ROB Regular,Fett"&amp;10&amp;K00+000
</oddHeader>
    <oddFooter>&amp;Rstand &amp;"-,Fett"&amp;D&amp;"-,Standard"
Änderungen vorbehalten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EB65-A34A-4E93-AE89-A9079DE2EE53}">
  <sheetPr codeName="Tabelle8"/>
  <dimension ref="A1:H19"/>
  <sheetViews>
    <sheetView view="pageLayout" zoomScale="130" zoomScaleNormal="134" zoomScalePageLayoutView="130" workbookViewId="0">
      <selection activeCell="H6" sqref="H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46076</v>
      </c>
      <c r="C2" s="23">
        <f t="shared" ref="C2:H2" si="0">B2+1</f>
        <v>46077</v>
      </c>
      <c r="D2" s="23">
        <f t="shared" si="0"/>
        <v>46078</v>
      </c>
      <c r="E2" s="23">
        <f t="shared" si="0"/>
        <v>46079</v>
      </c>
      <c r="F2" s="23">
        <f t="shared" si="0"/>
        <v>46080</v>
      </c>
      <c r="G2" s="23">
        <f t="shared" si="0"/>
        <v>46081</v>
      </c>
      <c r="H2" s="23">
        <f t="shared" si="0"/>
        <v>46082</v>
      </c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17</v>
      </c>
      <c r="C4" s="34" t="s">
        <v>17</v>
      </c>
      <c r="D4" s="34" t="s">
        <v>17</v>
      </c>
      <c r="E4" s="34" t="s">
        <v>16</v>
      </c>
      <c r="F4" s="34" t="s">
        <v>17</v>
      </c>
      <c r="G4" s="35"/>
      <c r="H4" s="36" t="s">
        <v>17</v>
      </c>
    </row>
    <row r="5" spans="1:8" ht="21.75" customHeight="1" x14ac:dyDescent="0.25">
      <c r="A5" s="75"/>
      <c r="B5" s="8" t="s">
        <v>14</v>
      </c>
      <c r="C5" s="8" t="s">
        <v>12</v>
      </c>
      <c r="D5" s="8" t="s">
        <v>14</v>
      </c>
      <c r="E5" s="8" t="s">
        <v>15</v>
      </c>
      <c r="F5" s="8" t="s">
        <v>13</v>
      </c>
      <c r="G5" s="8"/>
      <c r="H5" s="18" t="s">
        <v>14</v>
      </c>
    </row>
    <row r="6" spans="1:8" ht="24" customHeight="1" thickBot="1" x14ac:dyDescent="0.3">
      <c r="A6" s="59"/>
      <c r="B6" s="19" t="s">
        <v>71</v>
      </c>
      <c r="C6" s="19" t="s">
        <v>110</v>
      </c>
      <c r="D6" s="22" t="s">
        <v>80</v>
      </c>
      <c r="E6" s="19" t="s">
        <v>111</v>
      </c>
      <c r="F6" s="19" t="s">
        <v>110</v>
      </c>
      <c r="G6" s="21"/>
      <c r="H6" s="22" t="s">
        <v>71</v>
      </c>
    </row>
    <row r="7" spans="1:8" ht="21.75" customHeight="1" x14ac:dyDescent="0.25">
      <c r="A7" s="74" t="s">
        <v>18</v>
      </c>
      <c r="B7" s="34" t="s">
        <v>108</v>
      </c>
      <c r="C7" s="34"/>
      <c r="D7" s="34" t="s">
        <v>108</v>
      </c>
      <c r="E7" s="34"/>
      <c r="F7" s="34" t="s">
        <v>108</v>
      </c>
      <c r="G7" s="35"/>
      <c r="H7" s="36" t="s">
        <v>108</v>
      </c>
    </row>
    <row r="8" spans="1:8" ht="21.75" customHeight="1" x14ac:dyDescent="0.25">
      <c r="A8" s="75"/>
      <c r="B8" s="38" t="s">
        <v>106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98</v>
      </c>
      <c r="C9" s="89"/>
      <c r="D9" s="89" t="s">
        <v>9</v>
      </c>
      <c r="E9" s="68"/>
      <c r="F9" s="89" t="s">
        <v>57</v>
      </c>
      <c r="G9" s="104"/>
      <c r="H9" s="125" t="s">
        <v>111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126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127"/>
    </row>
    <row r="12" spans="1:8" ht="22.5" customHeight="1" x14ac:dyDescent="0.25">
      <c r="A12" s="28" t="s">
        <v>104</v>
      </c>
      <c r="B12" s="29" t="s">
        <v>109</v>
      </c>
      <c r="C12" s="29" t="s">
        <v>51</v>
      </c>
      <c r="D12" s="29" t="s">
        <v>112</v>
      </c>
      <c r="E12" s="29" t="s">
        <v>53</v>
      </c>
      <c r="F12" s="29" t="s">
        <v>115</v>
      </c>
      <c r="G12" s="29" t="s">
        <v>40</v>
      </c>
      <c r="H12" s="30" t="s">
        <v>113</v>
      </c>
    </row>
    <row r="13" spans="1:8" ht="35.25" customHeight="1" thickBot="1" x14ac:dyDescent="0.3">
      <c r="A13" s="31" t="s">
        <v>105</v>
      </c>
      <c r="B13" s="32" t="s">
        <v>80</v>
      </c>
      <c r="C13" s="32" t="s">
        <v>71</v>
      </c>
      <c r="D13" s="32" t="s">
        <v>110</v>
      </c>
      <c r="E13" s="32" t="s">
        <v>101</v>
      </c>
      <c r="F13" s="32" t="s">
        <v>80</v>
      </c>
      <c r="G13" s="32" t="s">
        <v>110</v>
      </c>
      <c r="H13" s="33" t="s">
        <v>114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80</v>
      </c>
      <c r="D17" s="64"/>
      <c r="E17" s="64"/>
      <c r="F17" s="62" t="s">
        <v>101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G9:G11"/>
    <mergeCell ref="B9:B11"/>
    <mergeCell ref="C9:C11"/>
    <mergeCell ref="D9:D11"/>
    <mergeCell ref="F9:F11"/>
    <mergeCell ref="E14:E16"/>
    <mergeCell ref="A4:A6"/>
    <mergeCell ref="A7:A11"/>
    <mergeCell ref="A1:A2"/>
    <mergeCell ref="E9:E11"/>
    <mergeCell ref="H9:H11"/>
    <mergeCell ref="A17:A18"/>
    <mergeCell ref="B17:B18"/>
    <mergeCell ref="C17:C18"/>
    <mergeCell ref="D17:D18"/>
    <mergeCell ref="E17:E18"/>
    <mergeCell ref="F14:F16"/>
    <mergeCell ref="G14:G16"/>
    <mergeCell ref="H14:H16"/>
    <mergeCell ref="G17:G18"/>
    <mergeCell ref="H17:H18"/>
    <mergeCell ref="F17:F18"/>
    <mergeCell ref="A14:A16"/>
    <mergeCell ref="B14:B16"/>
    <mergeCell ref="C14:C16"/>
    <mergeCell ref="D14:D16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09
&amp;"Cera ROB Regular,Fett"&amp;10&amp;K00+000
</oddHeader>
    <oddFooter>&amp;Rstand &amp;"-,Fett"&amp;D&amp;"-,Standard"
Änderungen vorbehalten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7793-2499-47E9-A8A3-88DC1C261012}">
  <sheetPr codeName="Tabelle9"/>
  <dimension ref="A1:H19"/>
  <sheetViews>
    <sheetView view="pageLayout" topLeftCell="A4" zoomScale="130" zoomScaleNormal="134" zoomScalePageLayoutView="130" workbookViewId="0">
      <selection activeCell="G1" sqref="G1:H19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07" t="s">
        <v>5</v>
      </c>
      <c r="H1" s="108"/>
    </row>
    <row r="2" spans="1:8" ht="15" customHeight="1" thickBot="1" x14ac:dyDescent="0.3">
      <c r="A2" s="88"/>
      <c r="B2" s="23">
        <v>46083</v>
      </c>
      <c r="C2" s="23">
        <f t="shared" ref="C2:F2" si="0">B2+1</f>
        <v>46084</v>
      </c>
      <c r="D2" s="23">
        <f t="shared" si="0"/>
        <v>46085</v>
      </c>
      <c r="E2" s="23">
        <f t="shared" si="0"/>
        <v>46086</v>
      </c>
      <c r="F2" s="23">
        <f t="shared" si="0"/>
        <v>46087</v>
      </c>
      <c r="G2" s="109"/>
      <c r="H2" s="110"/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6" t="s">
        <v>56</v>
      </c>
      <c r="F3" s="25"/>
      <c r="G3" s="109"/>
      <c r="H3" s="110"/>
    </row>
    <row r="4" spans="1:8" ht="21" customHeight="1" x14ac:dyDescent="0.25">
      <c r="A4" s="74" t="s">
        <v>11</v>
      </c>
      <c r="B4" s="34" t="s">
        <v>119</v>
      </c>
      <c r="C4" s="34" t="s">
        <v>120</v>
      </c>
      <c r="D4" s="34" t="s">
        <v>120</v>
      </c>
      <c r="E4" s="34" t="s">
        <v>121</v>
      </c>
      <c r="F4" s="34" t="s">
        <v>120</v>
      </c>
      <c r="G4" s="109"/>
      <c r="H4" s="110"/>
    </row>
    <row r="5" spans="1:8" ht="21.75" customHeight="1" x14ac:dyDescent="0.25">
      <c r="A5" s="75"/>
      <c r="B5" s="8" t="s">
        <v>12</v>
      </c>
      <c r="C5" s="8" t="s">
        <v>13</v>
      </c>
      <c r="D5" s="8" t="s">
        <v>14</v>
      </c>
      <c r="E5" s="8" t="s">
        <v>15</v>
      </c>
      <c r="F5" s="8" t="s">
        <v>14</v>
      </c>
      <c r="G5" s="109"/>
      <c r="H5" s="110"/>
    </row>
    <row r="6" spans="1:8" ht="24" customHeight="1" thickBot="1" x14ac:dyDescent="0.3">
      <c r="A6" s="59"/>
      <c r="B6" s="19" t="s">
        <v>71</v>
      </c>
      <c r="C6" s="19" t="s">
        <v>71</v>
      </c>
      <c r="D6" s="20" t="s">
        <v>110</v>
      </c>
      <c r="E6" s="19" t="s">
        <v>117</v>
      </c>
      <c r="F6" s="20" t="s">
        <v>80</v>
      </c>
      <c r="G6" s="109"/>
      <c r="H6" s="110"/>
    </row>
    <row r="7" spans="1:8" ht="21.75" customHeight="1" x14ac:dyDescent="0.25">
      <c r="A7" s="74" t="s">
        <v>18</v>
      </c>
      <c r="B7" s="34" t="s">
        <v>108</v>
      </c>
      <c r="C7" s="34"/>
      <c r="D7" s="34" t="s">
        <v>108</v>
      </c>
      <c r="E7" s="34"/>
      <c r="F7" s="34" t="s">
        <v>108</v>
      </c>
      <c r="G7" s="109"/>
      <c r="H7" s="110"/>
    </row>
    <row r="8" spans="1:8" ht="21.75" customHeight="1" x14ac:dyDescent="0.25">
      <c r="A8" s="75"/>
      <c r="B8" s="38" t="s">
        <v>106</v>
      </c>
      <c r="C8" s="17"/>
      <c r="D8" s="38" t="s">
        <v>106</v>
      </c>
      <c r="E8" s="17"/>
      <c r="F8" s="38" t="s">
        <v>107</v>
      </c>
      <c r="G8" s="109"/>
      <c r="H8" s="110"/>
    </row>
    <row r="9" spans="1:8" ht="18" customHeight="1" x14ac:dyDescent="0.25">
      <c r="A9" s="75"/>
      <c r="B9" s="89" t="s">
        <v>117</v>
      </c>
      <c r="C9" s="89"/>
      <c r="D9" s="89" t="s">
        <v>9</v>
      </c>
      <c r="E9" s="68"/>
      <c r="F9" s="89" t="s">
        <v>118</v>
      </c>
      <c r="G9" s="109"/>
      <c r="H9" s="110"/>
    </row>
    <row r="10" spans="1:8" ht="20.25" customHeight="1" x14ac:dyDescent="0.25">
      <c r="A10" s="75"/>
      <c r="B10" s="81"/>
      <c r="C10" s="81"/>
      <c r="D10" s="81"/>
      <c r="E10" s="69"/>
      <c r="F10" s="81"/>
      <c r="G10" s="109"/>
      <c r="H10" s="110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09"/>
      <c r="H11" s="110"/>
    </row>
    <row r="12" spans="1:8" ht="22.5" customHeight="1" x14ac:dyDescent="0.25">
      <c r="A12" s="28" t="s">
        <v>104</v>
      </c>
      <c r="B12" s="29" t="s">
        <v>116</v>
      </c>
      <c r="C12" s="29" t="s">
        <v>36</v>
      </c>
      <c r="D12" s="29" t="s">
        <v>96</v>
      </c>
      <c r="E12" s="29" t="s">
        <v>38</v>
      </c>
      <c r="F12" s="29" t="s">
        <v>39</v>
      </c>
      <c r="G12" s="109"/>
      <c r="H12" s="110"/>
    </row>
    <row r="13" spans="1:8" ht="35.25" customHeight="1" thickBot="1" x14ac:dyDescent="0.3">
      <c r="A13" s="31" t="s">
        <v>105</v>
      </c>
      <c r="B13" s="32" t="s">
        <v>110</v>
      </c>
      <c r="C13" s="32" t="s">
        <v>101</v>
      </c>
      <c r="D13" s="32" t="s">
        <v>80</v>
      </c>
      <c r="E13" s="32" t="s">
        <v>110</v>
      </c>
      <c r="F13" s="32" t="s">
        <v>101</v>
      </c>
      <c r="G13" s="109"/>
      <c r="H13" s="110"/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09"/>
      <c r="H14" s="110"/>
    </row>
    <row r="15" spans="1:8" ht="18" customHeight="1" x14ac:dyDescent="0.25">
      <c r="A15" s="75"/>
      <c r="B15" s="78"/>
      <c r="C15" s="78"/>
      <c r="D15" s="81"/>
      <c r="E15" s="78"/>
      <c r="F15" s="78"/>
      <c r="G15" s="109"/>
      <c r="H15" s="11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9"/>
      <c r="H16" s="110"/>
    </row>
    <row r="17" spans="1:8" ht="26.25" customHeight="1" x14ac:dyDescent="0.25">
      <c r="A17" s="58" t="s">
        <v>30</v>
      </c>
      <c r="B17" s="60"/>
      <c r="C17" s="62" t="s">
        <v>80</v>
      </c>
      <c r="D17" s="64"/>
      <c r="E17" s="64"/>
      <c r="F17" s="62" t="s">
        <v>80</v>
      </c>
      <c r="G17" s="109"/>
      <c r="H17" s="110"/>
    </row>
    <row r="18" spans="1:8" ht="6" customHeight="1" thickBot="1" x14ac:dyDescent="0.3">
      <c r="A18" s="59"/>
      <c r="B18" s="61"/>
      <c r="C18" s="63"/>
      <c r="D18" s="65"/>
      <c r="E18" s="65"/>
      <c r="F18" s="63"/>
      <c r="G18" s="109"/>
      <c r="H18" s="110"/>
    </row>
    <row r="19" spans="1:8" ht="16.5" thickBot="1" x14ac:dyDescent="0.3">
      <c r="A19"/>
      <c r="B19" s="16"/>
      <c r="C19" s="16"/>
      <c r="D19" s="16"/>
      <c r="E19"/>
      <c r="F19"/>
      <c r="G19" s="111"/>
      <c r="H19" s="112"/>
    </row>
  </sheetData>
  <mergeCells count="21">
    <mergeCell ref="A4:A6"/>
    <mergeCell ref="A7:A11"/>
    <mergeCell ref="B9:B11"/>
    <mergeCell ref="C9:C11"/>
    <mergeCell ref="D9:D11"/>
    <mergeCell ref="G1:H19"/>
    <mergeCell ref="A17:A18"/>
    <mergeCell ref="B17:B18"/>
    <mergeCell ref="C17:C18"/>
    <mergeCell ref="D17:D18"/>
    <mergeCell ref="E17:E18"/>
    <mergeCell ref="F17:F18"/>
    <mergeCell ref="E9:E11"/>
    <mergeCell ref="F9:F11"/>
    <mergeCell ref="A14:A16"/>
    <mergeCell ref="B14:B16"/>
    <mergeCell ref="C14:C16"/>
    <mergeCell ref="D14:D16"/>
    <mergeCell ref="E14:E16"/>
    <mergeCell ref="F14:F16"/>
    <mergeCell ref="A1:A2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10
&amp;"Cera ROB Regular,Fett"&amp;10&amp;K00+000
</oddHeader>
    <oddFooter>&amp;Rstand &amp;"-,Fett"&amp;D&amp;"-,Standard"
Änderungen vorbehalten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0602-726E-47A3-AA11-CE8A8895AB36}">
  <sheetPr codeName="Tabelle10"/>
  <dimension ref="A1:H19"/>
  <sheetViews>
    <sheetView view="pageLayout" zoomScale="130" zoomScaleNormal="134" zoomScalePageLayoutView="130" workbookViewId="0">
      <selection activeCell="B3" sqref="B3:F19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46090</v>
      </c>
      <c r="C2" s="23">
        <f t="shared" ref="C2:H2" si="0">B2+1</f>
        <v>46091</v>
      </c>
      <c r="D2" s="23">
        <f t="shared" si="0"/>
        <v>46092</v>
      </c>
      <c r="E2" s="23">
        <f t="shared" si="0"/>
        <v>46093</v>
      </c>
      <c r="F2" s="23">
        <f t="shared" si="0"/>
        <v>46094</v>
      </c>
      <c r="G2" s="23">
        <f t="shared" si="0"/>
        <v>46095</v>
      </c>
      <c r="H2" s="23">
        <f t="shared" si="0"/>
        <v>46096</v>
      </c>
    </row>
    <row r="3" spans="1:8" ht="35.25" customHeight="1" thickBot="1" x14ac:dyDescent="0.3">
      <c r="A3" s="24" t="s">
        <v>8</v>
      </c>
      <c r="B3" s="113" t="s">
        <v>124</v>
      </c>
      <c r="C3" s="114"/>
      <c r="D3" s="114"/>
      <c r="E3" s="114"/>
      <c r="F3" s="115"/>
      <c r="G3" s="25"/>
      <c r="H3" s="27"/>
    </row>
    <row r="4" spans="1:8" ht="21" customHeight="1" x14ac:dyDescent="0.25">
      <c r="A4" s="74" t="s">
        <v>11</v>
      </c>
      <c r="B4" s="116"/>
      <c r="C4" s="117"/>
      <c r="D4" s="117"/>
      <c r="E4" s="117"/>
      <c r="F4" s="118"/>
      <c r="G4" s="35"/>
      <c r="H4" s="36" t="s">
        <v>17</v>
      </c>
    </row>
    <row r="5" spans="1:8" ht="21.75" customHeight="1" x14ac:dyDescent="0.25">
      <c r="A5" s="75"/>
      <c r="B5" s="116"/>
      <c r="C5" s="117"/>
      <c r="D5" s="117"/>
      <c r="E5" s="117"/>
      <c r="F5" s="118"/>
      <c r="G5" s="8"/>
      <c r="H5" s="18" t="s">
        <v>14</v>
      </c>
    </row>
    <row r="6" spans="1:8" ht="24" customHeight="1" thickBot="1" x14ac:dyDescent="0.3">
      <c r="A6" s="59"/>
      <c r="B6" s="116"/>
      <c r="C6" s="117"/>
      <c r="D6" s="117"/>
      <c r="E6" s="117"/>
      <c r="F6" s="118"/>
      <c r="G6" s="21"/>
      <c r="H6" s="22" t="s">
        <v>80</v>
      </c>
    </row>
    <row r="7" spans="1:8" ht="21.75" customHeight="1" x14ac:dyDescent="0.25">
      <c r="A7" s="74" t="s">
        <v>18</v>
      </c>
      <c r="B7" s="116"/>
      <c r="C7" s="117"/>
      <c r="D7" s="117"/>
      <c r="E7" s="117"/>
      <c r="F7" s="118"/>
      <c r="G7" s="35"/>
      <c r="H7" s="36" t="s">
        <v>108</v>
      </c>
    </row>
    <row r="8" spans="1:8" ht="21.75" customHeight="1" x14ac:dyDescent="0.25">
      <c r="A8" s="75"/>
      <c r="B8" s="116"/>
      <c r="C8" s="117"/>
      <c r="D8" s="117"/>
      <c r="E8" s="117"/>
      <c r="F8" s="118"/>
      <c r="G8" s="37"/>
      <c r="H8" s="39" t="s">
        <v>106</v>
      </c>
    </row>
    <row r="9" spans="1:8" ht="18" customHeight="1" x14ac:dyDescent="0.25">
      <c r="A9" s="75"/>
      <c r="B9" s="116"/>
      <c r="C9" s="117"/>
      <c r="D9" s="117"/>
      <c r="E9" s="117"/>
      <c r="F9" s="118"/>
      <c r="G9" s="104"/>
      <c r="H9" s="125"/>
    </row>
    <row r="10" spans="1:8" ht="20.25" customHeight="1" x14ac:dyDescent="0.25">
      <c r="A10" s="75"/>
      <c r="B10" s="116"/>
      <c r="C10" s="117"/>
      <c r="D10" s="117"/>
      <c r="E10" s="117"/>
      <c r="F10" s="118"/>
      <c r="G10" s="105"/>
      <c r="H10" s="126"/>
    </row>
    <row r="11" spans="1:8" ht="15.75" customHeight="1" thickBot="1" x14ac:dyDescent="0.3">
      <c r="A11" s="59"/>
      <c r="B11" s="116"/>
      <c r="C11" s="117"/>
      <c r="D11" s="117"/>
      <c r="E11" s="117"/>
      <c r="F11" s="118"/>
      <c r="G11" s="124"/>
      <c r="H11" s="127"/>
    </row>
    <row r="12" spans="1:8" ht="22.5" customHeight="1" x14ac:dyDescent="0.25">
      <c r="A12" s="28" t="s">
        <v>104</v>
      </c>
      <c r="B12" s="116"/>
      <c r="C12" s="117"/>
      <c r="D12" s="117"/>
      <c r="E12" s="117"/>
      <c r="F12" s="118"/>
      <c r="G12" s="29" t="s">
        <v>40</v>
      </c>
      <c r="H12" s="30" t="s">
        <v>47</v>
      </c>
    </row>
    <row r="13" spans="1:8" ht="35.25" customHeight="1" thickBot="1" x14ac:dyDescent="0.3">
      <c r="A13" s="31" t="s">
        <v>105</v>
      </c>
      <c r="B13" s="116"/>
      <c r="C13" s="117"/>
      <c r="D13" s="117"/>
      <c r="E13" s="117"/>
      <c r="F13" s="118"/>
      <c r="G13" s="32" t="s">
        <v>122</v>
      </c>
      <c r="H13" s="33" t="s">
        <v>123</v>
      </c>
    </row>
    <row r="14" spans="1:8" ht="22.5" customHeight="1" x14ac:dyDescent="0.25">
      <c r="A14" s="74" t="s">
        <v>29</v>
      </c>
      <c r="B14" s="116"/>
      <c r="C14" s="117"/>
      <c r="D14" s="117"/>
      <c r="E14" s="117"/>
      <c r="F14" s="118"/>
      <c r="G14" s="128"/>
      <c r="H14" s="129"/>
    </row>
    <row r="15" spans="1:8" ht="18" customHeight="1" x14ac:dyDescent="0.25">
      <c r="A15" s="75"/>
      <c r="B15" s="116"/>
      <c r="C15" s="117"/>
      <c r="D15" s="117"/>
      <c r="E15" s="117"/>
      <c r="F15" s="118"/>
      <c r="G15" s="99"/>
      <c r="H15" s="130"/>
    </row>
    <row r="16" spans="1:8" ht="7.5" hidden="1" customHeight="1" x14ac:dyDescent="0.25">
      <c r="A16" s="76"/>
      <c r="B16" s="116"/>
      <c r="C16" s="117"/>
      <c r="D16" s="117"/>
      <c r="E16" s="117"/>
      <c r="F16" s="118"/>
      <c r="G16" s="100"/>
      <c r="H16" s="130"/>
    </row>
    <row r="17" spans="1:8" ht="26.25" customHeight="1" x14ac:dyDescent="0.25">
      <c r="A17" s="58" t="s">
        <v>30</v>
      </c>
      <c r="B17" s="116"/>
      <c r="C17" s="117"/>
      <c r="D17" s="117"/>
      <c r="E17" s="117"/>
      <c r="F17" s="118"/>
      <c r="G17" s="131"/>
      <c r="H17" s="131"/>
    </row>
    <row r="18" spans="1:8" ht="6" customHeight="1" thickBot="1" x14ac:dyDescent="0.3">
      <c r="A18" s="59"/>
      <c r="B18" s="116"/>
      <c r="C18" s="117"/>
      <c r="D18" s="117"/>
      <c r="E18" s="117"/>
      <c r="F18" s="118"/>
      <c r="G18" s="131"/>
      <c r="H18" s="131"/>
    </row>
    <row r="19" spans="1:8" x14ac:dyDescent="0.25">
      <c r="A19" s="40"/>
      <c r="B19" s="119"/>
      <c r="C19" s="120"/>
      <c r="D19" s="120"/>
      <c r="E19" s="120"/>
      <c r="F19" s="121"/>
      <c r="G19" s="131"/>
      <c r="H19" s="131"/>
    </row>
  </sheetData>
  <mergeCells count="12">
    <mergeCell ref="G9:G11"/>
    <mergeCell ref="H9:H11"/>
    <mergeCell ref="A14:A16"/>
    <mergeCell ref="A1:A2"/>
    <mergeCell ref="A4:A6"/>
    <mergeCell ref="A7:A11"/>
    <mergeCell ref="B3:F19"/>
    <mergeCell ref="G17:G19"/>
    <mergeCell ref="H17:H19"/>
    <mergeCell ref="G14:G16"/>
    <mergeCell ref="H14:H16"/>
    <mergeCell ref="A17:A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12
&amp;"Cera ROB Regular,Fett"&amp;10&amp;K00+000
</oddHeader>
    <oddFooter>&amp;Rstand &amp;"-,Fett"&amp;D&amp;"-,Standard"
Änderungen vorbehalten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28B9-357F-4122-BF67-8A55C01F1BE1}">
  <sheetPr codeName="Tabelle11"/>
  <dimension ref="A1:H19"/>
  <sheetViews>
    <sheetView view="pageLayout" zoomScale="130" zoomScaleNormal="134" zoomScalePageLayoutView="130" workbookViewId="0">
      <selection activeCell="H9" sqref="H9:H11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46097</v>
      </c>
      <c r="C2" s="23">
        <f t="shared" ref="C2:H2" si="0">B2+1</f>
        <v>46098</v>
      </c>
      <c r="D2" s="23">
        <f t="shared" si="0"/>
        <v>46099</v>
      </c>
      <c r="E2" s="23">
        <f t="shared" si="0"/>
        <v>46100</v>
      </c>
      <c r="F2" s="23">
        <f t="shared" si="0"/>
        <v>46101</v>
      </c>
      <c r="G2" s="23">
        <f t="shared" si="0"/>
        <v>46102</v>
      </c>
      <c r="H2" s="23">
        <f t="shared" si="0"/>
        <v>46103</v>
      </c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119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12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127</v>
      </c>
      <c r="C6" s="19" t="s">
        <v>128</v>
      </c>
      <c r="D6" s="19" t="s">
        <v>127</v>
      </c>
      <c r="E6" s="19" t="s">
        <v>83</v>
      </c>
      <c r="F6" s="19" t="s">
        <v>131</v>
      </c>
      <c r="G6" s="21"/>
      <c r="H6" s="19" t="s">
        <v>128</v>
      </c>
    </row>
    <row r="7" spans="1:8" ht="21.75" customHeight="1" x14ac:dyDescent="0.25">
      <c r="A7" s="74" t="s">
        <v>18</v>
      </c>
      <c r="B7" s="34" t="s">
        <v>108</v>
      </c>
      <c r="C7" s="34"/>
      <c r="D7" s="34" t="s">
        <v>108</v>
      </c>
      <c r="E7" s="34"/>
      <c r="F7" s="34" t="s">
        <v>108</v>
      </c>
      <c r="G7" s="35"/>
      <c r="H7" s="36" t="s">
        <v>108</v>
      </c>
    </row>
    <row r="8" spans="1:8" ht="21.75" customHeight="1" x14ac:dyDescent="0.25">
      <c r="A8" s="75"/>
      <c r="B8" s="38" t="s">
        <v>106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130</v>
      </c>
      <c r="C9" s="89"/>
      <c r="D9" s="89" t="s">
        <v>130</v>
      </c>
      <c r="E9" s="68"/>
      <c r="F9" s="89" t="s">
        <v>83</v>
      </c>
      <c r="G9" s="104"/>
      <c r="H9" s="89" t="s">
        <v>130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95</v>
      </c>
      <c r="C12" s="29" t="s">
        <v>36</v>
      </c>
      <c r="D12" s="29" t="s">
        <v>96</v>
      </c>
      <c r="E12" s="29" t="s">
        <v>38</v>
      </c>
      <c r="F12" s="29" t="s">
        <v>125</v>
      </c>
      <c r="G12" s="29" t="s">
        <v>40</v>
      </c>
      <c r="H12" s="30" t="s">
        <v>126</v>
      </c>
    </row>
    <row r="13" spans="1:8" ht="35.25" customHeight="1" thickBot="1" x14ac:dyDescent="0.3">
      <c r="A13" s="31" t="s">
        <v>105</v>
      </c>
      <c r="B13" s="32" t="s">
        <v>131</v>
      </c>
      <c r="C13" s="32" t="s">
        <v>129</v>
      </c>
      <c r="D13" s="32" t="s">
        <v>128</v>
      </c>
      <c r="E13" s="32" t="s">
        <v>131</v>
      </c>
      <c r="F13" s="32" t="s">
        <v>127</v>
      </c>
      <c r="G13" s="32" t="s">
        <v>128</v>
      </c>
      <c r="H13" s="33" t="s">
        <v>132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127</v>
      </c>
      <c r="D17" s="64"/>
      <c r="E17" s="64"/>
      <c r="F17" s="62" t="s">
        <v>129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honeticPr fontId="12" type="noConversion"/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12
&amp;"Cera ROB Regular,Fett"&amp;10&amp;K00+000
</oddHeader>
    <oddFooter>&amp;Rstand &amp;"-,Fett"&amp;D&amp;"-,Standard"
Änderungen vorbehalten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CF35-6A55-4240-B9CD-A62FAE9F98FF}">
  <sheetPr codeName="Tabelle12"/>
  <dimension ref="A1:H19"/>
  <sheetViews>
    <sheetView view="pageLayout" zoomScale="130" zoomScaleNormal="134" zoomScalePageLayoutView="130" workbookViewId="0">
      <selection activeCell="D13" sqref="D13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46104</v>
      </c>
      <c r="C2" s="23">
        <f t="shared" ref="C2:H2" si="0">B2+1</f>
        <v>46105</v>
      </c>
      <c r="D2" s="23">
        <f t="shared" si="0"/>
        <v>46106</v>
      </c>
      <c r="E2" s="23">
        <f t="shared" si="0"/>
        <v>46107</v>
      </c>
      <c r="F2" s="23">
        <f t="shared" si="0"/>
        <v>46108</v>
      </c>
      <c r="G2" s="23">
        <f t="shared" si="0"/>
        <v>46109</v>
      </c>
      <c r="H2" s="23">
        <f t="shared" si="0"/>
        <v>46110</v>
      </c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119</v>
      </c>
      <c r="C4" s="34" t="s">
        <v>120</v>
      </c>
      <c r="D4" s="34" t="s">
        <v>120</v>
      </c>
      <c r="E4" s="34" t="s">
        <v>121</v>
      </c>
      <c r="F4" s="34" t="s">
        <v>120</v>
      </c>
      <c r="G4" s="35" t="s">
        <v>135</v>
      </c>
      <c r="H4" s="34" t="s">
        <v>120</v>
      </c>
    </row>
    <row r="5" spans="1:8" ht="21.75" customHeight="1" x14ac:dyDescent="0.25">
      <c r="A5" s="75"/>
      <c r="B5" s="8" t="s">
        <v>12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134</v>
      </c>
      <c r="C6" s="19" t="s">
        <v>131</v>
      </c>
      <c r="D6" s="19" t="s">
        <v>127</v>
      </c>
      <c r="E6" s="19" t="s">
        <v>134</v>
      </c>
      <c r="F6" s="19" t="s">
        <v>128</v>
      </c>
      <c r="G6" s="21"/>
      <c r="H6" s="19" t="s">
        <v>101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106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138</v>
      </c>
      <c r="C9" s="89"/>
      <c r="D9" s="89" t="s">
        <v>138</v>
      </c>
      <c r="E9" s="68"/>
      <c r="F9" s="89" t="s">
        <v>57</v>
      </c>
      <c r="G9" s="104"/>
      <c r="H9" s="89" t="s">
        <v>134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116</v>
      </c>
      <c r="C12" s="29" t="s">
        <v>51</v>
      </c>
      <c r="D12" s="29" t="s">
        <v>133</v>
      </c>
      <c r="E12" s="29" t="s">
        <v>88</v>
      </c>
      <c r="F12" s="29" t="s">
        <v>95</v>
      </c>
      <c r="G12" s="29" t="s">
        <v>40</v>
      </c>
      <c r="H12" s="30" t="s">
        <v>47</v>
      </c>
    </row>
    <row r="13" spans="1:8" ht="35.25" customHeight="1" thickBot="1" x14ac:dyDescent="0.3">
      <c r="A13" s="31" t="s">
        <v>105</v>
      </c>
      <c r="B13" s="32" t="s">
        <v>127</v>
      </c>
      <c r="C13" s="32" t="s">
        <v>136</v>
      </c>
      <c r="D13" s="32" t="s">
        <v>128</v>
      </c>
      <c r="E13" s="32" t="s">
        <v>131</v>
      </c>
      <c r="F13" s="32" t="s">
        <v>127</v>
      </c>
      <c r="G13" s="32" t="s">
        <v>131</v>
      </c>
      <c r="H13" s="33" t="s">
        <v>137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127</v>
      </c>
      <c r="D17" s="64"/>
      <c r="E17" s="64"/>
      <c r="F17" s="62" t="s">
        <v>136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F17:F18"/>
    <mergeCell ref="G17:G18"/>
    <mergeCell ref="H17:H18"/>
    <mergeCell ref="A17:A18"/>
    <mergeCell ref="B17:B18"/>
    <mergeCell ref="C17:C18"/>
    <mergeCell ref="D17:D18"/>
    <mergeCell ref="E17:E18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A1:A2"/>
    <mergeCell ref="A4:A6"/>
    <mergeCell ref="A7:A11"/>
    <mergeCell ref="B9:B11"/>
    <mergeCell ref="C9:C11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13
&amp;"Cera ROB Regular,Fett"&amp;10&amp;K00+000
</oddHeader>
    <oddFooter>&amp;Rstand &amp;"-,Fett"&amp;D&amp;"-,Standard"
Änderungen vorbehalten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FA3A-492C-43B7-8006-38397C1CC368}">
  <sheetPr codeName="Tabelle13"/>
  <dimension ref="A1:H19"/>
  <sheetViews>
    <sheetView view="pageLayout" zoomScale="130" zoomScaleNormal="134" zoomScalePageLayoutView="130" workbookViewId="0">
      <selection activeCell="D14" sqref="D14:D1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46111</v>
      </c>
      <c r="C2" s="23">
        <f t="shared" ref="C2:H2" si="0">B2+1</f>
        <v>46112</v>
      </c>
      <c r="D2" s="23">
        <f t="shared" si="0"/>
        <v>46113</v>
      </c>
      <c r="E2" s="23">
        <f t="shared" si="0"/>
        <v>46114</v>
      </c>
      <c r="F2" s="23">
        <f t="shared" si="0"/>
        <v>46115</v>
      </c>
      <c r="G2" s="23">
        <f t="shared" si="0"/>
        <v>46116</v>
      </c>
      <c r="H2" s="23">
        <f t="shared" si="0"/>
        <v>46117</v>
      </c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5" t="s">
        <v>145</v>
      </c>
      <c r="F3" s="25" t="s">
        <v>148</v>
      </c>
      <c r="G3" s="25"/>
      <c r="H3" s="27" t="s">
        <v>152</v>
      </c>
    </row>
    <row r="4" spans="1:8" ht="21" customHeight="1" x14ac:dyDescent="0.25">
      <c r="A4" s="74" t="s">
        <v>11</v>
      </c>
      <c r="B4" s="34" t="s">
        <v>119</v>
      </c>
      <c r="C4" s="34" t="s">
        <v>120</v>
      </c>
      <c r="D4" s="34" t="s">
        <v>120</v>
      </c>
      <c r="E4" s="34" t="s">
        <v>121</v>
      </c>
      <c r="F4" s="34" t="s">
        <v>120</v>
      </c>
      <c r="G4" s="34" t="s">
        <v>120</v>
      </c>
      <c r="H4" s="34" t="s">
        <v>120</v>
      </c>
    </row>
    <row r="5" spans="1:8" ht="21.75" customHeight="1" x14ac:dyDescent="0.25">
      <c r="A5" s="75"/>
      <c r="B5" s="8" t="s">
        <v>12</v>
      </c>
      <c r="C5" s="8" t="s">
        <v>13</v>
      </c>
      <c r="D5" s="8" t="s">
        <v>14</v>
      </c>
      <c r="E5" s="8" t="s">
        <v>15</v>
      </c>
      <c r="F5" s="18" t="s">
        <v>14</v>
      </c>
      <c r="G5" s="8" t="s">
        <v>13</v>
      </c>
      <c r="H5" s="18" t="s">
        <v>12</v>
      </c>
    </row>
    <row r="6" spans="1:8" ht="24" customHeight="1" thickBot="1" x14ac:dyDescent="0.3">
      <c r="A6" s="59"/>
      <c r="B6" s="19"/>
      <c r="C6" s="19" t="s">
        <v>141</v>
      </c>
      <c r="D6" s="19" t="s">
        <v>127</v>
      </c>
      <c r="E6" s="19" t="s">
        <v>146</v>
      </c>
      <c r="F6" s="19" t="s">
        <v>142</v>
      </c>
      <c r="G6" s="21" t="s">
        <v>151</v>
      </c>
      <c r="H6" s="19" t="s">
        <v>142</v>
      </c>
    </row>
    <row r="7" spans="1:8" ht="21.75" customHeight="1" x14ac:dyDescent="0.25">
      <c r="A7" s="74" t="s">
        <v>18</v>
      </c>
      <c r="B7" s="34" t="s">
        <v>108</v>
      </c>
      <c r="C7" s="34"/>
      <c r="D7" s="34" t="s">
        <v>108</v>
      </c>
      <c r="E7" s="34"/>
      <c r="F7" s="34" t="s">
        <v>108</v>
      </c>
      <c r="G7" s="35" t="s">
        <v>158</v>
      </c>
      <c r="H7" s="36" t="s">
        <v>108</v>
      </c>
    </row>
    <row r="8" spans="1:8" ht="21.75" customHeight="1" x14ac:dyDescent="0.25">
      <c r="A8" s="75"/>
      <c r="B8" s="38" t="s">
        <v>106</v>
      </c>
      <c r="C8" s="17"/>
      <c r="D8" s="38" t="s">
        <v>106</v>
      </c>
      <c r="E8" s="17"/>
      <c r="F8" s="38" t="s">
        <v>107</v>
      </c>
      <c r="G8" s="39" t="s">
        <v>106</v>
      </c>
      <c r="H8" s="39" t="s">
        <v>106</v>
      </c>
    </row>
    <row r="9" spans="1:8" ht="18" customHeight="1" x14ac:dyDescent="0.25">
      <c r="A9" s="75"/>
      <c r="B9" s="89"/>
      <c r="C9" s="89"/>
      <c r="D9" s="89" t="s">
        <v>9</v>
      </c>
      <c r="E9" s="68"/>
      <c r="F9" s="89" t="s">
        <v>149</v>
      </c>
      <c r="G9" s="64" t="s">
        <v>152</v>
      </c>
      <c r="H9" s="89" t="s">
        <v>156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69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70"/>
      <c r="H11" s="90"/>
    </row>
    <row r="12" spans="1:8" ht="37.5" customHeight="1" x14ac:dyDescent="0.25">
      <c r="A12" s="28" t="s">
        <v>104</v>
      </c>
      <c r="B12" s="29" t="s">
        <v>139</v>
      </c>
      <c r="C12" s="29" t="s">
        <v>140</v>
      </c>
      <c r="D12" s="29" t="s">
        <v>96</v>
      </c>
      <c r="E12" s="29" t="s">
        <v>53</v>
      </c>
      <c r="F12" s="29" t="s">
        <v>125</v>
      </c>
      <c r="G12" s="29" t="s">
        <v>150</v>
      </c>
      <c r="H12" s="30" t="s">
        <v>159</v>
      </c>
    </row>
    <row r="13" spans="1:8" ht="35.25" customHeight="1" thickBot="1" x14ac:dyDescent="0.3">
      <c r="A13" s="31" t="s">
        <v>105</v>
      </c>
      <c r="B13" s="32"/>
      <c r="C13" s="32" t="s">
        <v>142</v>
      </c>
      <c r="D13" s="32" t="s">
        <v>143</v>
      </c>
      <c r="E13" s="32" t="s">
        <v>147</v>
      </c>
      <c r="F13" s="32" t="s">
        <v>101</v>
      </c>
      <c r="G13" s="32" t="s">
        <v>142</v>
      </c>
      <c r="H13" s="33" t="s">
        <v>155</v>
      </c>
    </row>
    <row r="14" spans="1:8" ht="22.5" customHeight="1" x14ac:dyDescent="0.25">
      <c r="A14" s="74" t="s">
        <v>29</v>
      </c>
      <c r="B14" s="77"/>
      <c r="C14" s="77"/>
      <c r="D14" s="132" t="s">
        <v>144</v>
      </c>
      <c r="E14" s="83"/>
      <c r="F14" s="77"/>
      <c r="G14" s="83" t="s">
        <v>154</v>
      </c>
      <c r="H14" s="129" t="s">
        <v>157</v>
      </c>
    </row>
    <row r="15" spans="1:8" ht="21" customHeight="1" x14ac:dyDescent="0.25">
      <c r="A15" s="75"/>
      <c r="B15" s="78"/>
      <c r="C15" s="78"/>
      <c r="D15" s="133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134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127</v>
      </c>
      <c r="D17" s="64"/>
      <c r="E17" s="64"/>
      <c r="F17" s="62" t="s">
        <v>142</v>
      </c>
      <c r="G17" s="62" t="s">
        <v>153</v>
      </c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63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F17:F18"/>
    <mergeCell ref="G17:G18"/>
    <mergeCell ref="H17:H18"/>
    <mergeCell ref="A17:A18"/>
    <mergeCell ref="B17:B18"/>
    <mergeCell ref="C17:C18"/>
    <mergeCell ref="D17:D18"/>
    <mergeCell ref="E17:E18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A1:A2"/>
    <mergeCell ref="A4:A6"/>
    <mergeCell ref="A7:A11"/>
    <mergeCell ref="B9:B11"/>
    <mergeCell ref="C9:C11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14
&amp;"Cera ROB Regular,Fett"&amp;10&amp;K00+000
</oddHeader>
    <oddFooter>&amp;Rstand &amp;"-,Fett"&amp;D&amp;"-,Standard"
Änderungen vorbehalten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790-E074-475D-8B08-56F02A1016E7}">
  <sheetPr codeName="Tabelle14"/>
  <dimension ref="A1:H19"/>
  <sheetViews>
    <sheetView view="pageLayout" zoomScale="130" zoomScaleNormal="134" zoomScalePageLayoutView="130" workbookViewId="0">
      <selection activeCell="H6" sqref="H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46118</v>
      </c>
      <c r="C2" s="23">
        <f t="shared" ref="C2:H2" si="0">B2+1</f>
        <v>46119</v>
      </c>
      <c r="D2" s="23">
        <f t="shared" si="0"/>
        <v>46120</v>
      </c>
      <c r="E2" s="23">
        <f t="shared" si="0"/>
        <v>46121</v>
      </c>
      <c r="F2" s="23">
        <f t="shared" si="0"/>
        <v>46122</v>
      </c>
      <c r="G2" s="23">
        <f t="shared" si="0"/>
        <v>46123</v>
      </c>
      <c r="H2" s="23">
        <f t="shared" si="0"/>
        <v>46124</v>
      </c>
    </row>
    <row r="3" spans="1:8" ht="35.25" customHeight="1" thickBot="1" x14ac:dyDescent="0.3">
      <c r="A3" s="24" t="s">
        <v>8</v>
      </c>
      <c r="B3" s="135"/>
      <c r="C3" s="136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137"/>
      <c r="C4" s="138"/>
      <c r="D4" s="34" t="s">
        <v>120</v>
      </c>
      <c r="E4" s="34" t="s">
        <v>121</v>
      </c>
      <c r="F4" s="34" t="s">
        <v>120</v>
      </c>
      <c r="G4" s="35" t="s">
        <v>135</v>
      </c>
      <c r="H4" s="34" t="s">
        <v>120</v>
      </c>
    </row>
    <row r="5" spans="1:8" ht="21.75" customHeight="1" x14ac:dyDescent="0.25">
      <c r="A5" s="75"/>
      <c r="B5" s="137"/>
      <c r="C5" s="138"/>
      <c r="D5" s="8" t="s">
        <v>13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37"/>
      <c r="C6" s="138"/>
      <c r="D6" s="19" t="s">
        <v>151</v>
      </c>
      <c r="E6" s="19" t="s">
        <v>57</v>
      </c>
      <c r="F6" s="19" t="s">
        <v>162</v>
      </c>
      <c r="G6" s="21"/>
      <c r="H6" s="19" t="s">
        <v>80</v>
      </c>
    </row>
    <row r="7" spans="1:8" ht="21.75" customHeight="1" x14ac:dyDescent="0.25">
      <c r="A7" s="74" t="s">
        <v>18</v>
      </c>
      <c r="B7" s="137"/>
      <c r="C7" s="138"/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137"/>
      <c r="C8" s="138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137"/>
      <c r="C9" s="138"/>
      <c r="D9" s="89" t="s">
        <v>160</v>
      </c>
      <c r="E9" s="68"/>
      <c r="F9" s="89" t="s">
        <v>161</v>
      </c>
      <c r="G9" s="104"/>
      <c r="H9" s="89" t="s">
        <v>9</v>
      </c>
    </row>
    <row r="10" spans="1:8" ht="20.25" customHeight="1" x14ac:dyDescent="0.25">
      <c r="A10" s="75"/>
      <c r="B10" s="137"/>
      <c r="C10" s="138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137"/>
      <c r="C11" s="138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137"/>
      <c r="C12" s="138"/>
      <c r="D12" s="29" t="s">
        <v>133</v>
      </c>
      <c r="E12" s="29" t="s">
        <v>88</v>
      </c>
      <c r="F12" s="29" t="s">
        <v>95</v>
      </c>
      <c r="G12" s="29" t="s">
        <v>40</v>
      </c>
      <c r="H12" s="30" t="s">
        <v>55</v>
      </c>
    </row>
    <row r="13" spans="1:8" ht="35.25" customHeight="1" thickBot="1" x14ac:dyDescent="0.3">
      <c r="A13" s="31" t="s">
        <v>105</v>
      </c>
      <c r="B13" s="137"/>
      <c r="C13" s="138"/>
      <c r="D13" s="32" t="s">
        <v>142</v>
      </c>
      <c r="E13" s="32" t="s">
        <v>151</v>
      </c>
      <c r="F13" s="32" t="s">
        <v>164</v>
      </c>
      <c r="G13" s="32" t="s">
        <v>80</v>
      </c>
      <c r="H13" s="33" t="s">
        <v>163</v>
      </c>
    </row>
    <row r="14" spans="1:8" ht="22.5" customHeight="1" x14ac:dyDescent="0.25">
      <c r="A14" s="74" t="s">
        <v>29</v>
      </c>
      <c r="B14" s="137"/>
      <c r="C14" s="138"/>
      <c r="D14" s="80"/>
      <c r="E14" s="83"/>
      <c r="F14" s="77"/>
      <c r="G14" s="128"/>
      <c r="H14" s="129"/>
    </row>
    <row r="15" spans="1:8" ht="18" customHeight="1" x14ac:dyDescent="0.25">
      <c r="A15" s="75"/>
      <c r="B15" s="137"/>
      <c r="C15" s="13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137"/>
      <c r="C16" s="138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137"/>
      <c r="C17" s="138"/>
      <c r="D17" s="64"/>
      <c r="E17" s="64"/>
      <c r="F17" s="62" t="s">
        <v>101</v>
      </c>
      <c r="G17" s="91"/>
      <c r="H17" s="122"/>
    </row>
    <row r="18" spans="1:8" ht="6" customHeight="1" thickBot="1" x14ac:dyDescent="0.3">
      <c r="A18" s="59"/>
      <c r="B18" s="139"/>
      <c r="C18" s="140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1">
    <mergeCell ref="A1:A2"/>
    <mergeCell ref="A4:A6"/>
    <mergeCell ref="A7:A11"/>
    <mergeCell ref="D9:D11"/>
    <mergeCell ref="B3:C18"/>
    <mergeCell ref="A17:A18"/>
    <mergeCell ref="D17:D18"/>
    <mergeCell ref="A14:A16"/>
    <mergeCell ref="D14:D16"/>
    <mergeCell ref="H17:H18"/>
    <mergeCell ref="E9:E11"/>
    <mergeCell ref="F9:F11"/>
    <mergeCell ref="G9:G11"/>
    <mergeCell ref="H9:H11"/>
    <mergeCell ref="H14:H16"/>
    <mergeCell ref="E14:E16"/>
    <mergeCell ref="F14:F16"/>
    <mergeCell ref="G14:G16"/>
    <mergeCell ref="E17:E18"/>
    <mergeCell ref="F17:F18"/>
    <mergeCell ref="G17:G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15
&amp;"Cera ROB Regular,Fett"&amp;10&amp;K00+000
</oddHeader>
    <oddFooter>&amp;Rstand &amp;"-,Fett"&amp;D&amp;"-,Standard"
Änderungen vorbehalten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4748-55AB-4460-9749-826AD08F1952}">
  <sheetPr codeName="Tabelle15"/>
  <dimension ref="A1:H19"/>
  <sheetViews>
    <sheetView view="pageLayout" topLeftCell="A3" zoomScale="130" zoomScaleNormal="134" zoomScalePageLayoutView="130" workbookViewId="0">
      <selection activeCell="H14" sqref="H14:H16"/>
    </sheetView>
  </sheetViews>
  <sheetFormatPr baseColWidth="10" defaultColWidth="11" defaultRowHeight="15.75" x14ac:dyDescent="0.25"/>
  <cols>
    <col min="1" max="1" width="18" style="41" customWidth="1"/>
    <col min="2" max="3" width="14.125" style="41" customWidth="1"/>
    <col min="4" max="4" width="13.5" style="41" customWidth="1"/>
    <col min="5" max="5" width="15" style="41" customWidth="1"/>
    <col min="6" max="6" width="14" style="41" customWidth="1"/>
    <col min="7" max="7" width="13.25" style="41" customWidth="1"/>
    <col min="8" max="8" width="16.375" style="41" customWidth="1"/>
    <col min="9" max="16384" width="11" style="41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46125</v>
      </c>
      <c r="C2" s="23">
        <f t="shared" ref="C2:H2" si="0">B2+1</f>
        <v>46126</v>
      </c>
      <c r="D2" s="23">
        <f t="shared" si="0"/>
        <v>46127</v>
      </c>
      <c r="E2" s="23">
        <f t="shared" si="0"/>
        <v>46128</v>
      </c>
      <c r="F2" s="23">
        <f t="shared" si="0"/>
        <v>46129</v>
      </c>
      <c r="G2" s="23">
        <f t="shared" si="0"/>
        <v>46130</v>
      </c>
      <c r="H2" s="23">
        <f t="shared" si="0"/>
        <v>46131</v>
      </c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119</v>
      </c>
      <c r="C4" s="34" t="s">
        <v>120</v>
      </c>
      <c r="D4" s="34" t="s">
        <v>120</v>
      </c>
      <c r="E4" s="34" t="s">
        <v>121</v>
      </c>
      <c r="F4" s="34" t="s">
        <v>120</v>
      </c>
      <c r="G4" s="35" t="s">
        <v>135</v>
      </c>
      <c r="H4" s="34" t="s">
        <v>120</v>
      </c>
    </row>
    <row r="5" spans="1:8" ht="21.75" customHeight="1" x14ac:dyDescent="0.25">
      <c r="A5" s="75"/>
      <c r="B5" s="8" t="s">
        <v>12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162</v>
      </c>
      <c r="C6" s="19" t="s">
        <v>167</v>
      </c>
      <c r="D6" s="19" t="s">
        <v>162</v>
      </c>
      <c r="E6" s="19" t="s">
        <v>166</v>
      </c>
      <c r="F6" s="19" t="s">
        <v>80</v>
      </c>
      <c r="G6" s="21"/>
      <c r="H6" s="19" t="s">
        <v>165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106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57</v>
      </c>
      <c r="C9" s="89"/>
      <c r="D9" s="89" t="s">
        <v>9</v>
      </c>
      <c r="E9" s="68"/>
      <c r="F9" s="89" t="s">
        <v>166</v>
      </c>
      <c r="G9" s="104"/>
      <c r="H9" s="89" t="s">
        <v>9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139</v>
      </c>
      <c r="C12" s="29" t="s">
        <v>36</v>
      </c>
      <c r="D12" s="29" t="s">
        <v>96</v>
      </c>
      <c r="E12" s="29" t="s">
        <v>38</v>
      </c>
      <c r="F12" s="29" t="s">
        <v>125</v>
      </c>
      <c r="G12" s="29" t="s">
        <v>40</v>
      </c>
      <c r="H12" s="30" t="s">
        <v>47</v>
      </c>
    </row>
    <row r="13" spans="1:8" ht="35.25" customHeight="1" thickBot="1" x14ac:dyDescent="0.3">
      <c r="A13" s="31" t="s">
        <v>105</v>
      </c>
      <c r="B13" s="32" t="s">
        <v>80</v>
      </c>
      <c r="C13" s="32" t="s">
        <v>80</v>
      </c>
      <c r="D13" s="32" t="s">
        <v>162</v>
      </c>
      <c r="E13" s="32" t="s">
        <v>165</v>
      </c>
      <c r="F13" s="32" t="s">
        <v>168</v>
      </c>
      <c r="G13" s="32" t="s">
        <v>165</v>
      </c>
      <c r="H13" s="32" t="s">
        <v>169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165</v>
      </c>
      <c r="D17" s="64"/>
      <c r="E17" s="64"/>
      <c r="F17" s="62" t="s">
        <v>80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16
&amp;"Cera ROB Regular,Fett"&amp;10&amp;K00+000
</oddHeader>
    <oddFooter>&amp;Rstand &amp;"-,Fett"&amp;D&amp;"-,Standard"
Änderungen vorbehalten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985C-F870-430B-80DD-EE331AB110D0}">
  <sheetPr codeName="Tabelle16"/>
  <dimension ref="A1:H19"/>
  <sheetViews>
    <sheetView view="pageLayout" topLeftCell="A4" zoomScale="130" zoomScaleNormal="134" zoomScalePageLayoutView="130" workbookViewId="0">
      <selection activeCell="H14" sqref="H14:H1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46132</v>
      </c>
      <c r="C2" s="23">
        <f t="shared" ref="C2:H2" si="0">B2+1</f>
        <v>46133</v>
      </c>
      <c r="D2" s="23">
        <f t="shared" si="0"/>
        <v>46134</v>
      </c>
      <c r="E2" s="23">
        <f t="shared" si="0"/>
        <v>46135</v>
      </c>
      <c r="F2" s="23">
        <f t="shared" si="0"/>
        <v>46136</v>
      </c>
      <c r="G2" s="23">
        <f t="shared" si="0"/>
        <v>46137</v>
      </c>
      <c r="H2" s="23">
        <f t="shared" si="0"/>
        <v>46138</v>
      </c>
    </row>
    <row r="3" spans="1:8" ht="35.25" customHeight="1" thickBot="1" x14ac:dyDescent="0.3">
      <c r="A3" s="24" t="s">
        <v>8</v>
      </c>
      <c r="B3" s="26" t="s">
        <v>172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 t="s">
        <v>135</v>
      </c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80</v>
      </c>
      <c r="C6" s="19" t="s">
        <v>171</v>
      </c>
      <c r="D6" s="19" t="s">
        <v>165</v>
      </c>
      <c r="E6" s="19" t="s">
        <v>57</v>
      </c>
      <c r="F6" s="19" t="s">
        <v>171</v>
      </c>
      <c r="G6" s="21"/>
      <c r="H6" s="19" t="s">
        <v>80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9</v>
      </c>
      <c r="C9" s="89"/>
      <c r="D9" s="89" t="s">
        <v>172</v>
      </c>
      <c r="E9" s="68"/>
      <c r="F9" s="89" t="s">
        <v>57</v>
      </c>
      <c r="G9" s="104"/>
      <c r="H9" s="89" t="s">
        <v>170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116</v>
      </c>
      <c r="C12" s="29" t="s">
        <v>51</v>
      </c>
      <c r="D12" s="29" t="s">
        <v>133</v>
      </c>
      <c r="E12" s="29" t="s">
        <v>88</v>
      </c>
      <c r="F12" s="29" t="s">
        <v>95</v>
      </c>
      <c r="G12" s="29" t="s">
        <v>40</v>
      </c>
      <c r="H12" s="30" t="s">
        <v>55</v>
      </c>
    </row>
    <row r="13" spans="1:8" ht="35.25" customHeight="1" thickBot="1" x14ac:dyDescent="0.3">
      <c r="A13" s="31" t="s">
        <v>105</v>
      </c>
      <c r="B13" s="32" t="s">
        <v>165</v>
      </c>
      <c r="C13" s="32" t="s">
        <v>80</v>
      </c>
      <c r="D13" s="32" t="s">
        <v>171</v>
      </c>
      <c r="E13" s="32" t="s">
        <v>41</v>
      </c>
      <c r="F13" s="32" t="s">
        <v>41</v>
      </c>
      <c r="G13" s="32" t="s">
        <v>171</v>
      </c>
      <c r="H13" s="33" t="s">
        <v>173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165</v>
      </c>
      <c r="D17" s="64"/>
      <c r="E17" s="64"/>
      <c r="F17" s="62" t="s">
        <v>80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17
&amp;"Cera ROB Regular,Fett"&amp;10&amp;K00+000
</oddHeader>
    <oddFooter>&amp;Rstand &amp;"-,Fett"&amp;D&amp;"-,Standard"
Änderungen vorbehalten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FF00-5E5A-43A4-A4DD-6510E9C8BA48}">
  <sheetPr codeName="Tabelle17"/>
  <dimension ref="A1:H19"/>
  <sheetViews>
    <sheetView view="pageLayout" zoomScale="130" zoomScaleNormal="134" zoomScalePageLayoutView="130" workbookViewId="0">
      <selection activeCell="H6" sqref="H6"/>
    </sheetView>
  </sheetViews>
  <sheetFormatPr baseColWidth="10" defaultColWidth="11" defaultRowHeight="15.75" x14ac:dyDescent="0.25"/>
  <cols>
    <col min="1" max="1" width="18" style="41" customWidth="1"/>
    <col min="2" max="3" width="14.125" style="41" customWidth="1"/>
    <col min="4" max="4" width="13.5" style="41" customWidth="1"/>
    <col min="5" max="5" width="15" style="41" customWidth="1"/>
    <col min="6" max="6" width="14" style="41" customWidth="1"/>
    <col min="7" max="7" width="13.25" style="41" customWidth="1"/>
    <col min="8" max="8" width="16.375" style="41" customWidth="1"/>
    <col min="9" max="16384" width="11" style="41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46139</v>
      </c>
      <c r="C2" s="23">
        <f t="shared" ref="C2:H2" si="0">B2+1</f>
        <v>46140</v>
      </c>
      <c r="D2" s="23">
        <f t="shared" si="0"/>
        <v>46141</v>
      </c>
      <c r="E2" s="23">
        <f t="shared" si="0"/>
        <v>46142</v>
      </c>
      <c r="F2" s="23">
        <f t="shared" si="0"/>
        <v>46143</v>
      </c>
      <c r="G2" s="23">
        <f t="shared" si="0"/>
        <v>46144</v>
      </c>
      <c r="H2" s="23">
        <f t="shared" si="0"/>
        <v>46145</v>
      </c>
    </row>
    <row r="3" spans="1:8" ht="35.25" customHeight="1" thickBot="1" x14ac:dyDescent="0.3">
      <c r="A3" s="24" t="s">
        <v>8</v>
      </c>
      <c r="B3" s="26" t="s">
        <v>56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 t="s">
        <v>135</v>
      </c>
      <c r="H4" s="34" t="s">
        <v>120</v>
      </c>
    </row>
    <row r="5" spans="1:8" ht="21.75" customHeight="1" x14ac:dyDescent="0.25">
      <c r="A5" s="75"/>
      <c r="B5" s="1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171</v>
      </c>
      <c r="C6" s="19" t="s">
        <v>175</v>
      </c>
      <c r="D6" s="19" t="s">
        <v>80</v>
      </c>
      <c r="E6" s="19" t="s">
        <v>170</v>
      </c>
      <c r="F6" s="19" t="s">
        <v>175</v>
      </c>
      <c r="G6" s="21"/>
      <c r="H6" s="19" t="s">
        <v>174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170</v>
      </c>
      <c r="C9" s="89"/>
      <c r="D9" s="89" t="s">
        <v>170</v>
      </c>
      <c r="E9" s="68"/>
      <c r="F9" s="89" t="s">
        <v>180</v>
      </c>
      <c r="G9" s="104"/>
      <c r="H9" s="89" t="s">
        <v>177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139</v>
      </c>
      <c r="C12" s="29" t="s">
        <v>36</v>
      </c>
      <c r="D12" s="29" t="s">
        <v>96</v>
      </c>
      <c r="E12" s="29" t="s">
        <v>38</v>
      </c>
      <c r="F12" s="29" t="s">
        <v>125</v>
      </c>
      <c r="G12" s="29" t="s">
        <v>40</v>
      </c>
      <c r="H12" s="30" t="s">
        <v>47</v>
      </c>
    </row>
    <row r="13" spans="1:8" ht="50.25" customHeight="1" thickBot="1" x14ac:dyDescent="0.3">
      <c r="A13" s="31" t="s">
        <v>105</v>
      </c>
      <c r="B13" s="32" t="s">
        <v>175</v>
      </c>
      <c r="C13" s="32" t="s">
        <v>174</v>
      </c>
      <c r="D13" s="32" t="s">
        <v>101</v>
      </c>
      <c r="E13" s="32" t="s">
        <v>175</v>
      </c>
      <c r="F13" s="32" t="s">
        <v>174</v>
      </c>
      <c r="G13" s="32" t="s">
        <v>176</v>
      </c>
      <c r="H13" s="32" t="s">
        <v>179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80</v>
      </c>
      <c r="D17" s="64"/>
      <c r="E17" s="62" t="s">
        <v>181</v>
      </c>
      <c r="F17" s="62" t="s">
        <v>178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3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18
&amp;"Cera ROB Regular,Fett"&amp;10&amp;K00+000
</oddHeader>
    <oddFooter>&amp;Rstand &amp;"-,Fett"&amp;D&amp;"-,Standard"
Änderungen vorbehalten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062A-EC02-45EE-A737-F87B7B9C509D}">
  <sheetPr codeName="Tabelle18"/>
  <dimension ref="A1:H19"/>
  <sheetViews>
    <sheetView view="pageLayout" zoomScale="130" zoomScaleNormal="134" zoomScalePageLayoutView="130" workbookViewId="0">
      <selection activeCell="F6" sqref="F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46146</v>
      </c>
      <c r="C2" s="23">
        <f t="shared" ref="C2:H2" si="0">B2+1</f>
        <v>46147</v>
      </c>
      <c r="D2" s="23">
        <f t="shared" si="0"/>
        <v>46148</v>
      </c>
      <c r="E2" s="23">
        <f t="shared" si="0"/>
        <v>46149</v>
      </c>
      <c r="F2" s="23">
        <f t="shared" si="0"/>
        <v>46150</v>
      </c>
      <c r="G2" s="23">
        <f t="shared" si="0"/>
        <v>46151</v>
      </c>
      <c r="H2" s="23">
        <f t="shared" si="0"/>
        <v>46152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176</v>
      </c>
      <c r="C6" s="19" t="s">
        <v>176</v>
      </c>
      <c r="D6" s="19" t="s">
        <v>90</v>
      </c>
      <c r="E6" s="19" t="s">
        <v>177</v>
      </c>
      <c r="F6" s="19" t="s">
        <v>176</v>
      </c>
      <c r="G6" s="21"/>
      <c r="H6" s="19" t="s">
        <v>90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9</v>
      </c>
      <c r="C9" s="89"/>
      <c r="D9" s="89" t="s">
        <v>177</v>
      </c>
      <c r="E9" s="68"/>
      <c r="F9" s="89" t="s">
        <v>182</v>
      </c>
      <c r="G9" s="104"/>
      <c r="H9" s="89" t="s">
        <v>177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116</v>
      </c>
      <c r="C12" s="29" t="s">
        <v>51</v>
      </c>
      <c r="D12" s="29" t="s">
        <v>133</v>
      </c>
      <c r="E12" s="29" t="s">
        <v>88</v>
      </c>
      <c r="F12" s="29" t="s">
        <v>95</v>
      </c>
      <c r="G12" s="29" t="s">
        <v>40</v>
      </c>
      <c r="H12" s="30" t="s">
        <v>55</v>
      </c>
    </row>
    <row r="13" spans="1:8" ht="35.25" customHeight="1" thickBot="1" x14ac:dyDescent="0.3">
      <c r="A13" s="31" t="s">
        <v>105</v>
      </c>
      <c r="B13" s="32" t="s">
        <v>184</v>
      </c>
      <c r="C13" s="32" t="s">
        <v>90</v>
      </c>
      <c r="D13" s="32" t="s">
        <v>176</v>
      </c>
      <c r="E13" s="32" t="s">
        <v>178</v>
      </c>
      <c r="F13" s="32" t="s">
        <v>178</v>
      </c>
      <c r="G13" s="32" t="s">
        <v>183</v>
      </c>
      <c r="H13" s="33" t="s">
        <v>185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178</v>
      </c>
      <c r="D17" s="64"/>
      <c r="E17" s="64"/>
      <c r="F17" s="62" t="s">
        <v>90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F17:F18"/>
    <mergeCell ref="G17:G18"/>
    <mergeCell ref="H17:H18"/>
    <mergeCell ref="A17:A18"/>
    <mergeCell ref="B17:B18"/>
    <mergeCell ref="C17:C18"/>
    <mergeCell ref="D17:D18"/>
    <mergeCell ref="E17:E18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A1:A2"/>
    <mergeCell ref="A4:A6"/>
    <mergeCell ref="A7:A11"/>
    <mergeCell ref="B9:B11"/>
    <mergeCell ref="C9:C11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19
&amp;"Cera ROB Regular,Fett"&amp;10&amp;K00+000
</oddHeader>
    <oddFooter>&amp;Rstand &amp;"-,Fett"&amp;D&amp;"-,Standard"
Änderungen vorbehalten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18CA-AA0B-4927-ADA9-914580F84F32}">
  <sheetPr codeName="Tabelle19"/>
  <dimension ref="A1:H19"/>
  <sheetViews>
    <sheetView view="pageLayout" zoomScale="130" zoomScaleNormal="134" zoomScalePageLayoutView="130" workbookViewId="0">
      <selection activeCell="H1" sqref="H1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46153</v>
      </c>
      <c r="C2" s="23">
        <f t="shared" ref="C2:H2" si="0">B2+1</f>
        <v>46154</v>
      </c>
      <c r="D2" s="23">
        <f t="shared" si="0"/>
        <v>46155</v>
      </c>
      <c r="E2" s="23">
        <f t="shared" si="0"/>
        <v>46156</v>
      </c>
      <c r="F2" s="23">
        <f t="shared" si="0"/>
        <v>46157</v>
      </c>
      <c r="G2" s="23">
        <f t="shared" si="0"/>
        <v>46158</v>
      </c>
      <c r="H2" s="23">
        <f t="shared" si="0"/>
        <v>46159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186</v>
      </c>
      <c r="C6" s="19" t="s">
        <v>188</v>
      </c>
      <c r="D6" s="19" t="s">
        <v>187</v>
      </c>
      <c r="E6" s="19" t="s">
        <v>57</v>
      </c>
      <c r="F6" s="19" t="s">
        <v>90</v>
      </c>
      <c r="G6" s="21"/>
      <c r="H6" s="19" t="s">
        <v>191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177</v>
      </c>
      <c r="C9" s="89"/>
      <c r="D9" s="89" t="s">
        <v>177</v>
      </c>
      <c r="E9" s="68"/>
      <c r="F9" s="89" t="s">
        <v>177</v>
      </c>
      <c r="G9" s="104"/>
      <c r="H9" s="89" t="s">
        <v>9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109</v>
      </c>
      <c r="C12" s="29" t="s">
        <v>36</v>
      </c>
      <c r="D12" s="29" t="s">
        <v>189</v>
      </c>
      <c r="E12" s="29" t="s">
        <v>53</v>
      </c>
      <c r="F12" s="29" t="s">
        <v>116</v>
      </c>
      <c r="G12" s="29" t="s">
        <v>40</v>
      </c>
      <c r="H12" s="30" t="s">
        <v>47</v>
      </c>
    </row>
    <row r="13" spans="1:8" ht="55.5" customHeight="1" thickBot="1" x14ac:dyDescent="0.3">
      <c r="A13" s="31" t="s">
        <v>105</v>
      </c>
      <c r="B13" s="32" t="s">
        <v>90</v>
      </c>
      <c r="C13" s="32" t="s">
        <v>176</v>
      </c>
      <c r="D13" s="32" t="s">
        <v>186</v>
      </c>
      <c r="E13" s="32" t="s">
        <v>178</v>
      </c>
      <c r="F13" s="32" t="s">
        <v>176</v>
      </c>
      <c r="G13" s="32" t="s">
        <v>187</v>
      </c>
      <c r="H13" s="33" t="s">
        <v>190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187</v>
      </c>
      <c r="D17" s="64"/>
      <c r="E17" s="64"/>
      <c r="F17" s="62" t="s">
        <v>178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20
&amp;"Cera ROB Regular,Fett"&amp;10&amp;K00+000
</oddHeader>
    <oddFooter>&amp;Rstand &amp;"-,Fett"&amp;D&amp;"-,Standard"
Änderungen vorbehalten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F9A4-BE6C-488D-BFFB-4A3AAB698C89}">
  <sheetPr codeName="Tabelle20"/>
  <dimension ref="A1:H19"/>
  <sheetViews>
    <sheetView view="pageLayout" topLeftCell="A3" zoomScale="130" zoomScaleNormal="134" zoomScalePageLayoutView="130" workbookViewId="0">
      <selection activeCell="F17" sqref="F17:F18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46160</v>
      </c>
      <c r="C2" s="23">
        <f t="shared" ref="C2:H2" si="0">B2+1</f>
        <v>46161</v>
      </c>
      <c r="D2" s="23">
        <f t="shared" si="0"/>
        <v>46162</v>
      </c>
      <c r="E2" s="23">
        <f t="shared" si="0"/>
        <v>46163</v>
      </c>
      <c r="F2" s="23">
        <f t="shared" si="0"/>
        <v>46164</v>
      </c>
      <c r="G2" s="23">
        <f t="shared" si="0"/>
        <v>46165</v>
      </c>
      <c r="H2" s="23">
        <f t="shared" si="0"/>
        <v>46166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187</v>
      </c>
      <c r="C6" s="19" t="s">
        <v>192</v>
      </c>
      <c r="D6" s="19" t="s">
        <v>192</v>
      </c>
      <c r="E6" s="19" t="s">
        <v>193</v>
      </c>
      <c r="F6" s="19" t="s">
        <v>195</v>
      </c>
      <c r="G6" s="21"/>
      <c r="H6" s="19" t="s">
        <v>65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193</v>
      </c>
      <c r="C9" s="89"/>
      <c r="D9" s="89" t="s">
        <v>9</v>
      </c>
      <c r="E9" s="68"/>
      <c r="F9" s="89" t="s">
        <v>193</v>
      </c>
      <c r="G9" s="104"/>
      <c r="H9" s="89" t="s">
        <v>9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125</v>
      </c>
      <c r="C12" s="29" t="s">
        <v>51</v>
      </c>
      <c r="D12" s="29" t="s">
        <v>112</v>
      </c>
      <c r="E12" s="29" t="s">
        <v>38</v>
      </c>
      <c r="F12" s="29" t="s">
        <v>95</v>
      </c>
      <c r="G12" s="29" t="s">
        <v>40</v>
      </c>
      <c r="H12" s="30" t="s">
        <v>126</v>
      </c>
    </row>
    <row r="13" spans="1:8" ht="55.5" customHeight="1" thickBot="1" x14ac:dyDescent="0.3">
      <c r="A13" s="31" t="s">
        <v>105</v>
      </c>
      <c r="B13" s="32" t="s">
        <v>192</v>
      </c>
      <c r="C13" s="32" t="s">
        <v>194</v>
      </c>
      <c r="D13" s="32" t="s">
        <v>187</v>
      </c>
      <c r="E13" s="32" t="s">
        <v>192</v>
      </c>
      <c r="F13" s="32" t="s">
        <v>187</v>
      </c>
      <c r="G13" s="32" t="s">
        <v>195</v>
      </c>
      <c r="H13" s="33" t="s">
        <v>178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187</v>
      </c>
      <c r="D17" s="64"/>
      <c r="E17" s="64"/>
      <c r="F17" s="62" t="s">
        <v>178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21
&amp;"Cera ROB Regular,Fett"&amp;10&amp;K00+000
</oddHeader>
    <oddFooter>&amp;Rstand &amp;"-,Fett"&amp;D&amp;"-,Standard"
Änderungen vorbehalten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34CB-4DE0-4FEA-9191-D8DF280A42E9}">
  <sheetPr codeName="Tabelle21"/>
  <dimension ref="A1:H19"/>
  <sheetViews>
    <sheetView view="pageLayout" zoomScale="130" zoomScaleNormal="134" zoomScalePageLayoutView="130" workbookViewId="0">
      <selection activeCell="E14" sqref="E14:E1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46167</v>
      </c>
      <c r="C2" s="23">
        <f t="shared" ref="C2:H2" si="0">B2+1</f>
        <v>46168</v>
      </c>
      <c r="D2" s="23">
        <f t="shared" si="0"/>
        <v>46169</v>
      </c>
      <c r="E2" s="23">
        <f t="shared" si="0"/>
        <v>46170</v>
      </c>
      <c r="F2" s="23">
        <f t="shared" si="0"/>
        <v>46171</v>
      </c>
      <c r="G2" s="23">
        <f t="shared" si="0"/>
        <v>46172</v>
      </c>
      <c r="H2" s="23">
        <f t="shared" si="0"/>
        <v>46173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65</v>
      </c>
      <c r="C6" s="19" t="s">
        <v>196</v>
      </c>
      <c r="D6" s="19" t="s">
        <v>197</v>
      </c>
      <c r="E6" s="19" t="s">
        <v>198</v>
      </c>
      <c r="F6" s="19" t="s">
        <v>196</v>
      </c>
      <c r="G6" s="21"/>
      <c r="H6" s="19" t="s">
        <v>178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9</v>
      </c>
      <c r="C9" s="89"/>
      <c r="D9" s="89" t="s">
        <v>9</v>
      </c>
      <c r="E9" s="68"/>
      <c r="F9" s="89" t="s">
        <v>198</v>
      </c>
      <c r="G9" s="104"/>
      <c r="H9" s="89" t="s">
        <v>198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201</v>
      </c>
      <c r="C12" s="29" t="s">
        <v>36</v>
      </c>
      <c r="D12" s="29" t="s">
        <v>96</v>
      </c>
      <c r="E12" s="29" t="s">
        <v>53</v>
      </c>
      <c r="F12" s="29" t="s">
        <v>125</v>
      </c>
      <c r="G12" s="29" t="s">
        <v>40</v>
      </c>
      <c r="H12" s="30" t="s">
        <v>126</v>
      </c>
    </row>
    <row r="13" spans="1:8" ht="55.5" customHeight="1" thickBot="1" x14ac:dyDescent="0.3">
      <c r="A13" s="31" t="s">
        <v>105</v>
      </c>
      <c r="B13" s="32" t="s">
        <v>197</v>
      </c>
      <c r="C13" s="32" t="s">
        <v>65</v>
      </c>
      <c r="D13" s="32" t="s">
        <v>196</v>
      </c>
      <c r="E13" s="32" t="s">
        <v>178</v>
      </c>
      <c r="F13" s="32" t="s">
        <v>65</v>
      </c>
      <c r="G13" s="32" t="s">
        <v>199</v>
      </c>
      <c r="H13" s="33" t="s">
        <v>200</v>
      </c>
    </row>
    <row r="14" spans="1:8" ht="22.5" customHeight="1" x14ac:dyDescent="0.25">
      <c r="A14" s="74" t="s">
        <v>29</v>
      </c>
      <c r="B14" s="77"/>
      <c r="C14" s="77"/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197</v>
      </c>
      <c r="D17" s="64"/>
      <c r="E17" s="64"/>
      <c r="F17" s="62" t="s">
        <v>178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F17:F18"/>
    <mergeCell ref="G17:G18"/>
    <mergeCell ref="H17:H18"/>
    <mergeCell ref="A17:A18"/>
    <mergeCell ref="B17:B18"/>
    <mergeCell ref="C17:C18"/>
    <mergeCell ref="D17:D18"/>
    <mergeCell ref="E17:E18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A1:A2"/>
    <mergeCell ref="A4:A6"/>
    <mergeCell ref="A7:A11"/>
    <mergeCell ref="B9:B11"/>
    <mergeCell ref="C9:C11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22
&amp;"Cera ROB Regular,Fett"&amp;10&amp;K00+000
</oddHeader>
    <oddFooter>&amp;Rstand &amp;"-,Fett"&amp;D&amp;"-,Standard"
Änderungen vorbehalten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73D9-B3B3-4F75-A5DD-0D835B9848FD}">
  <dimension ref="A1:H19"/>
  <sheetViews>
    <sheetView view="pageLayout" zoomScale="130" zoomScaleNormal="134" zoomScalePageLayoutView="130" workbookViewId="0">
      <selection activeCell="C14" sqref="C14:C1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42" t="s">
        <v>4</v>
      </c>
      <c r="G1" s="107" t="s">
        <v>5</v>
      </c>
      <c r="H1" s="108"/>
    </row>
    <row r="2" spans="1:8" ht="15" customHeight="1" thickBot="1" x14ac:dyDescent="0.3">
      <c r="A2" s="88"/>
      <c r="B2" s="23">
        <v>46174</v>
      </c>
      <c r="C2" s="23">
        <f t="shared" ref="C2:F2" si="0">B2+1</f>
        <v>46175</v>
      </c>
      <c r="D2" s="23">
        <f t="shared" si="0"/>
        <v>46176</v>
      </c>
      <c r="E2" s="23">
        <f t="shared" si="0"/>
        <v>46177</v>
      </c>
      <c r="F2" s="43">
        <f t="shared" si="0"/>
        <v>46178</v>
      </c>
      <c r="G2" s="109"/>
      <c r="H2" s="110"/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44"/>
      <c r="G3" s="109"/>
      <c r="H3" s="110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45" t="s">
        <v>120</v>
      </c>
      <c r="G4" s="109"/>
      <c r="H4" s="110"/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46" t="s">
        <v>14</v>
      </c>
      <c r="G5" s="109"/>
      <c r="H5" s="110"/>
    </row>
    <row r="6" spans="1:8" ht="24" customHeight="1" thickBot="1" x14ac:dyDescent="0.3">
      <c r="A6" s="59"/>
      <c r="B6" s="51" t="s">
        <v>207</v>
      </c>
      <c r="C6" s="19" t="s">
        <v>204</v>
      </c>
      <c r="D6" s="51" t="s">
        <v>206</v>
      </c>
      <c r="E6" s="19" t="s">
        <v>203</v>
      </c>
      <c r="F6" s="47" t="s">
        <v>205</v>
      </c>
      <c r="G6" s="109"/>
      <c r="H6" s="110"/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45" t="s">
        <v>108</v>
      </c>
      <c r="G7" s="109"/>
      <c r="H7" s="110"/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48" t="s">
        <v>107</v>
      </c>
      <c r="G8" s="109"/>
      <c r="H8" s="110"/>
    </row>
    <row r="9" spans="1:8" ht="18" customHeight="1" x14ac:dyDescent="0.25">
      <c r="A9" s="75"/>
      <c r="B9" s="89" t="s">
        <v>203</v>
      </c>
      <c r="C9" s="89"/>
      <c r="D9" s="89" t="s">
        <v>203</v>
      </c>
      <c r="E9" s="68"/>
      <c r="F9" s="71" t="s">
        <v>57</v>
      </c>
      <c r="G9" s="109"/>
      <c r="H9" s="110"/>
    </row>
    <row r="10" spans="1:8" ht="20.25" customHeight="1" x14ac:dyDescent="0.25">
      <c r="A10" s="75"/>
      <c r="B10" s="81"/>
      <c r="C10" s="81"/>
      <c r="D10" s="81"/>
      <c r="E10" s="69"/>
      <c r="F10" s="72"/>
      <c r="G10" s="109"/>
      <c r="H10" s="110"/>
    </row>
    <row r="11" spans="1:8" ht="15.75" customHeight="1" thickBot="1" x14ac:dyDescent="0.3">
      <c r="A11" s="59"/>
      <c r="B11" s="90"/>
      <c r="C11" s="90"/>
      <c r="D11" s="90"/>
      <c r="E11" s="70"/>
      <c r="F11" s="73"/>
      <c r="G11" s="109"/>
      <c r="H11" s="110"/>
    </row>
    <row r="12" spans="1:8" ht="22.5" customHeight="1" x14ac:dyDescent="0.25">
      <c r="A12" s="28" t="s">
        <v>104</v>
      </c>
      <c r="B12" s="29" t="s">
        <v>116</v>
      </c>
      <c r="C12" s="29" t="s">
        <v>51</v>
      </c>
      <c r="D12" s="29" t="s">
        <v>112</v>
      </c>
      <c r="E12" s="29" t="s">
        <v>38</v>
      </c>
      <c r="F12" s="49" t="s">
        <v>95</v>
      </c>
      <c r="G12" s="109"/>
      <c r="H12" s="110"/>
    </row>
    <row r="13" spans="1:8" ht="55.5" customHeight="1" thickBot="1" x14ac:dyDescent="0.3">
      <c r="A13" s="31" t="s">
        <v>105</v>
      </c>
      <c r="B13" s="32" t="s">
        <v>205</v>
      </c>
      <c r="C13" s="32" t="s">
        <v>206</v>
      </c>
      <c r="D13" s="32" t="s">
        <v>207</v>
      </c>
      <c r="E13" s="32" t="s">
        <v>205</v>
      </c>
      <c r="F13" s="50" t="s">
        <v>207</v>
      </c>
      <c r="G13" s="109"/>
      <c r="H13" s="110"/>
    </row>
    <row r="14" spans="1:8" ht="22.5" customHeight="1" x14ac:dyDescent="0.25">
      <c r="A14" s="74" t="s">
        <v>29</v>
      </c>
      <c r="B14" s="77" t="s">
        <v>84</v>
      </c>
      <c r="C14" s="77" t="s">
        <v>202</v>
      </c>
      <c r="D14" s="80"/>
      <c r="E14" s="83"/>
      <c r="F14" s="84"/>
      <c r="G14" s="109"/>
      <c r="H14" s="110"/>
    </row>
    <row r="15" spans="1:8" ht="18" customHeight="1" x14ac:dyDescent="0.25">
      <c r="A15" s="75"/>
      <c r="B15" s="78"/>
      <c r="C15" s="78"/>
      <c r="D15" s="81"/>
      <c r="E15" s="78"/>
      <c r="F15" s="85"/>
      <c r="G15" s="109"/>
      <c r="H15" s="110"/>
    </row>
    <row r="16" spans="1:8" ht="7.5" hidden="1" customHeight="1" x14ac:dyDescent="0.25">
      <c r="A16" s="76"/>
      <c r="B16" s="79"/>
      <c r="C16" s="79"/>
      <c r="D16" s="82"/>
      <c r="E16" s="79"/>
      <c r="F16" s="86"/>
      <c r="G16" s="109"/>
      <c r="H16" s="110"/>
    </row>
    <row r="17" spans="1:8" ht="26.25" customHeight="1" x14ac:dyDescent="0.25">
      <c r="A17" s="58" t="s">
        <v>30</v>
      </c>
      <c r="B17" s="60"/>
      <c r="C17" s="62" t="s">
        <v>207</v>
      </c>
      <c r="D17" s="64"/>
      <c r="E17" s="64"/>
      <c r="F17" s="66" t="s">
        <v>206</v>
      </c>
      <c r="G17" s="109"/>
      <c r="H17" s="110"/>
    </row>
    <row r="18" spans="1:8" ht="6" customHeight="1" thickBot="1" x14ac:dyDescent="0.3">
      <c r="A18" s="59"/>
      <c r="B18" s="61"/>
      <c r="C18" s="63"/>
      <c r="D18" s="65"/>
      <c r="E18" s="65"/>
      <c r="F18" s="67"/>
      <c r="G18" s="141"/>
      <c r="H18" s="142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1">
    <mergeCell ref="A4:A6"/>
    <mergeCell ref="A7:A11"/>
    <mergeCell ref="B9:B11"/>
    <mergeCell ref="C9:C11"/>
    <mergeCell ref="D9:D11"/>
    <mergeCell ref="G1:H18"/>
    <mergeCell ref="A17:A18"/>
    <mergeCell ref="B17:B18"/>
    <mergeCell ref="C17:C18"/>
    <mergeCell ref="D17:D18"/>
    <mergeCell ref="E17:E18"/>
    <mergeCell ref="F17:F18"/>
    <mergeCell ref="E9:E11"/>
    <mergeCell ref="F9:F11"/>
    <mergeCell ref="A14:A16"/>
    <mergeCell ref="B14:B16"/>
    <mergeCell ref="C14:C16"/>
    <mergeCell ref="D14:D16"/>
    <mergeCell ref="E14:E16"/>
    <mergeCell ref="F14:F16"/>
    <mergeCell ref="A1:A2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23
&amp;"Cera ROB Regular,Fett"&amp;10&amp;K00+000
</oddHeader>
    <oddFooter>&amp;Rstand &amp;"-,Fett"&amp;D&amp;"-,Standard"
Änderungen vorbehalten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0892-C92C-4035-8397-937ED3CFF8EF}">
  <dimension ref="A1:H19"/>
  <sheetViews>
    <sheetView view="pageLayout" zoomScale="130" zoomScaleNormal="134" zoomScalePageLayoutView="130" workbookViewId="0">
      <selection activeCell="H17" sqref="H17:H19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46181</v>
      </c>
      <c r="C2" s="23">
        <f t="shared" ref="C2:H2" si="0">B2+1</f>
        <v>46182</v>
      </c>
      <c r="D2" s="23">
        <f t="shared" si="0"/>
        <v>46183</v>
      </c>
      <c r="E2" s="23">
        <f t="shared" si="0"/>
        <v>46184</v>
      </c>
      <c r="F2" s="23">
        <f t="shared" si="0"/>
        <v>46185</v>
      </c>
      <c r="G2" s="23">
        <f t="shared" si="0"/>
        <v>46186</v>
      </c>
      <c r="H2" s="23">
        <f t="shared" si="0"/>
        <v>46187</v>
      </c>
    </row>
    <row r="3" spans="1:8" ht="35.25" customHeight="1" thickBot="1" x14ac:dyDescent="0.3">
      <c r="A3" s="24" t="s">
        <v>8</v>
      </c>
      <c r="B3" s="113" t="s">
        <v>208</v>
      </c>
      <c r="C3" s="114"/>
      <c r="D3" s="114"/>
      <c r="E3" s="114"/>
      <c r="F3" s="115"/>
      <c r="G3" s="25"/>
      <c r="H3" s="27"/>
    </row>
    <row r="4" spans="1:8" ht="21" customHeight="1" x14ac:dyDescent="0.25">
      <c r="A4" s="74" t="s">
        <v>11</v>
      </c>
      <c r="B4" s="116"/>
      <c r="C4" s="117"/>
      <c r="D4" s="117"/>
      <c r="E4" s="117"/>
      <c r="F4" s="118"/>
      <c r="G4" s="35"/>
      <c r="H4" s="36" t="s">
        <v>120</v>
      </c>
    </row>
    <row r="5" spans="1:8" ht="21.75" customHeight="1" x14ac:dyDescent="0.25">
      <c r="A5" s="75"/>
      <c r="B5" s="116"/>
      <c r="C5" s="117"/>
      <c r="D5" s="117"/>
      <c r="E5" s="117"/>
      <c r="F5" s="118"/>
      <c r="G5" s="8"/>
      <c r="H5" s="18" t="s">
        <v>14</v>
      </c>
    </row>
    <row r="6" spans="1:8" ht="24" customHeight="1" thickBot="1" x14ac:dyDescent="0.3">
      <c r="A6" s="59"/>
      <c r="B6" s="116"/>
      <c r="C6" s="117"/>
      <c r="D6" s="117"/>
      <c r="E6" s="117"/>
      <c r="F6" s="118"/>
      <c r="G6" s="21"/>
      <c r="H6" s="22" t="s">
        <v>187</v>
      </c>
    </row>
    <row r="7" spans="1:8" ht="21.75" customHeight="1" x14ac:dyDescent="0.25">
      <c r="A7" s="74" t="s">
        <v>18</v>
      </c>
      <c r="B7" s="116"/>
      <c r="C7" s="117"/>
      <c r="D7" s="117"/>
      <c r="E7" s="117"/>
      <c r="F7" s="118"/>
      <c r="G7" s="35"/>
      <c r="H7" s="36" t="s">
        <v>108</v>
      </c>
    </row>
    <row r="8" spans="1:8" ht="21.75" customHeight="1" x14ac:dyDescent="0.25">
      <c r="A8" s="75"/>
      <c r="B8" s="116"/>
      <c r="C8" s="117"/>
      <c r="D8" s="117"/>
      <c r="E8" s="117"/>
      <c r="F8" s="118"/>
      <c r="G8" s="37"/>
      <c r="H8" s="39" t="s">
        <v>106</v>
      </c>
    </row>
    <row r="9" spans="1:8" ht="18" customHeight="1" x14ac:dyDescent="0.25">
      <c r="A9" s="75"/>
      <c r="B9" s="116"/>
      <c r="C9" s="117"/>
      <c r="D9" s="117"/>
      <c r="E9" s="117"/>
      <c r="F9" s="118"/>
      <c r="G9" s="104"/>
      <c r="H9" s="125" t="s">
        <v>9</v>
      </c>
    </row>
    <row r="10" spans="1:8" ht="20.25" customHeight="1" x14ac:dyDescent="0.25">
      <c r="A10" s="75"/>
      <c r="B10" s="116"/>
      <c r="C10" s="117"/>
      <c r="D10" s="117"/>
      <c r="E10" s="117"/>
      <c r="F10" s="118"/>
      <c r="G10" s="105"/>
      <c r="H10" s="126"/>
    </row>
    <row r="11" spans="1:8" ht="15.75" customHeight="1" thickBot="1" x14ac:dyDescent="0.3">
      <c r="A11" s="59"/>
      <c r="B11" s="116"/>
      <c r="C11" s="117"/>
      <c r="D11" s="117"/>
      <c r="E11" s="117"/>
      <c r="F11" s="118"/>
      <c r="G11" s="124"/>
      <c r="H11" s="127"/>
    </row>
    <row r="12" spans="1:8" ht="22.5" customHeight="1" x14ac:dyDescent="0.25">
      <c r="A12" s="28" t="s">
        <v>104</v>
      </c>
      <c r="B12" s="116"/>
      <c r="C12" s="117"/>
      <c r="D12" s="117"/>
      <c r="E12" s="117"/>
      <c r="F12" s="118"/>
      <c r="G12" s="29" t="s">
        <v>40</v>
      </c>
      <c r="H12" s="30" t="s">
        <v>74</v>
      </c>
    </row>
    <row r="13" spans="1:8" ht="35.25" customHeight="1" thickBot="1" x14ac:dyDescent="0.3">
      <c r="A13" s="31" t="s">
        <v>105</v>
      </c>
      <c r="B13" s="116"/>
      <c r="C13" s="117"/>
      <c r="D13" s="117"/>
      <c r="E13" s="117"/>
      <c r="F13" s="118"/>
      <c r="G13" s="32" t="s">
        <v>187</v>
      </c>
      <c r="H13" s="33" t="s">
        <v>209</v>
      </c>
    </row>
    <row r="14" spans="1:8" ht="22.5" customHeight="1" x14ac:dyDescent="0.25">
      <c r="A14" s="74" t="s">
        <v>29</v>
      </c>
      <c r="B14" s="116"/>
      <c r="C14" s="117"/>
      <c r="D14" s="117"/>
      <c r="E14" s="117"/>
      <c r="F14" s="118"/>
      <c r="G14" s="128"/>
      <c r="H14" s="129"/>
    </row>
    <row r="15" spans="1:8" ht="18" customHeight="1" x14ac:dyDescent="0.25">
      <c r="A15" s="75"/>
      <c r="B15" s="116"/>
      <c r="C15" s="117"/>
      <c r="D15" s="117"/>
      <c r="E15" s="117"/>
      <c r="F15" s="118"/>
      <c r="G15" s="99"/>
      <c r="H15" s="130"/>
    </row>
    <row r="16" spans="1:8" ht="7.5" hidden="1" customHeight="1" x14ac:dyDescent="0.25">
      <c r="A16" s="76"/>
      <c r="B16" s="116"/>
      <c r="C16" s="117"/>
      <c r="D16" s="117"/>
      <c r="E16" s="117"/>
      <c r="F16" s="118"/>
      <c r="G16" s="100"/>
      <c r="H16" s="130"/>
    </row>
    <row r="17" spans="1:8" ht="26.25" customHeight="1" x14ac:dyDescent="0.25">
      <c r="A17" s="58" t="s">
        <v>30</v>
      </c>
      <c r="B17" s="116"/>
      <c r="C17" s="117"/>
      <c r="D17" s="117"/>
      <c r="E17" s="117"/>
      <c r="F17" s="118"/>
      <c r="G17" s="131"/>
      <c r="H17" s="131"/>
    </row>
    <row r="18" spans="1:8" ht="6" customHeight="1" thickBot="1" x14ac:dyDescent="0.3">
      <c r="A18" s="59"/>
      <c r="B18" s="116"/>
      <c r="C18" s="117"/>
      <c r="D18" s="117"/>
      <c r="E18" s="117"/>
      <c r="F18" s="118"/>
      <c r="G18" s="131"/>
      <c r="H18" s="131"/>
    </row>
    <row r="19" spans="1:8" x14ac:dyDescent="0.25">
      <c r="A19" s="40"/>
      <c r="B19" s="119"/>
      <c r="C19" s="120"/>
      <c r="D19" s="120"/>
      <c r="E19" s="120"/>
      <c r="F19" s="121"/>
      <c r="G19" s="131"/>
      <c r="H19" s="131"/>
    </row>
  </sheetData>
  <mergeCells count="12">
    <mergeCell ref="G17:G19"/>
    <mergeCell ref="H17:H19"/>
    <mergeCell ref="A1:A2"/>
    <mergeCell ref="B3:F19"/>
    <mergeCell ref="A4:A6"/>
    <mergeCell ref="A7:A11"/>
    <mergeCell ref="G9:G11"/>
    <mergeCell ref="H9:H11"/>
    <mergeCell ref="A14:A16"/>
    <mergeCell ref="G14:G16"/>
    <mergeCell ref="H14:H16"/>
    <mergeCell ref="A17:A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24
&amp;"Cera ROB Regular,Fett"&amp;10&amp;K00+000
</oddHeader>
    <oddFooter>&amp;Rstand &amp;"-,Fett"&amp;D&amp;"-,Standard"
Änderungen vorbehalten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D954-947D-46E2-82F3-305B06572469}">
  <dimension ref="A1:H19"/>
  <sheetViews>
    <sheetView view="pageLayout" zoomScale="130" zoomScaleNormal="134" zoomScalePageLayoutView="130" workbookViewId="0">
      <selection activeCell="C14" sqref="C14:C1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46188</v>
      </c>
      <c r="C2" s="23">
        <f t="shared" ref="C2:H2" si="0">B2+1</f>
        <v>46189</v>
      </c>
      <c r="D2" s="23">
        <f t="shared" si="0"/>
        <v>46190</v>
      </c>
      <c r="E2" s="23">
        <f t="shared" si="0"/>
        <v>46191</v>
      </c>
      <c r="F2" s="23">
        <f t="shared" si="0"/>
        <v>46192</v>
      </c>
      <c r="G2" s="23">
        <f t="shared" si="0"/>
        <v>46193</v>
      </c>
      <c r="H2" s="23">
        <f t="shared" si="0"/>
        <v>46194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213</v>
      </c>
      <c r="C6" s="19" t="s">
        <v>215</v>
      </c>
      <c r="D6" s="19" t="s">
        <v>187</v>
      </c>
      <c r="E6" s="19" t="s">
        <v>210</v>
      </c>
      <c r="F6" s="19" t="s">
        <v>212</v>
      </c>
      <c r="G6" s="21"/>
      <c r="H6" s="19" t="s">
        <v>214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210</v>
      </c>
      <c r="C9" s="89"/>
      <c r="D9" s="89" t="s">
        <v>9</v>
      </c>
      <c r="E9" s="68"/>
      <c r="F9" s="89" t="s">
        <v>210</v>
      </c>
      <c r="G9" s="104"/>
      <c r="H9" s="89" t="s">
        <v>57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125</v>
      </c>
      <c r="C12" s="29" t="s">
        <v>51</v>
      </c>
      <c r="D12" s="29" t="s">
        <v>112</v>
      </c>
      <c r="E12" s="29" t="s">
        <v>38</v>
      </c>
      <c r="F12" s="29" t="s">
        <v>95</v>
      </c>
      <c r="G12" s="29" t="s">
        <v>40</v>
      </c>
      <c r="H12" s="30" t="s">
        <v>126</v>
      </c>
    </row>
    <row r="13" spans="1:8" ht="55.5" customHeight="1" thickBot="1" x14ac:dyDescent="0.3">
      <c r="A13" s="31" t="s">
        <v>105</v>
      </c>
      <c r="B13" s="32" t="s">
        <v>212</v>
      </c>
      <c r="C13" s="32" t="s">
        <v>168</v>
      </c>
      <c r="D13" s="32" t="s">
        <v>215</v>
      </c>
      <c r="E13" s="32" t="s">
        <v>187</v>
      </c>
      <c r="F13" s="32" t="s">
        <v>168</v>
      </c>
      <c r="G13" s="32" t="s">
        <v>212</v>
      </c>
      <c r="H13" s="33" t="s">
        <v>216</v>
      </c>
    </row>
    <row r="14" spans="1:8" ht="22.5" customHeight="1" x14ac:dyDescent="0.25">
      <c r="A14" s="74" t="s">
        <v>29</v>
      </c>
      <c r="B14" s="77"/>
      <c r="C14" s="77" t="s">
        <v>202</v>
      </c>
      <c r="D14" s="80"/>
      <c r="E14" s="83"/>
      <c r="F14" s="77"/>
      <c r="G14" s="128" t="s">
        <v>211</v>
      </c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187</v>
      </c>
      <c r="D17" s="64"/>
      <c r="E17" s="64"/>
      <c r="F17" s="62" t="s">
        <v>215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25
&amp;"Cera ROB Regular,Fett"&amp;10&amp;K00+000
</oddHeader>
    <oddFooter>&amp;Rstand &amp;"-,Fett"&amp;D&amp;"-,Standard"
Änderungen vorbehalten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4AB6-3631-4FD0-9AB7-ED7C67DAB4CD}">
  <dimension ref="A1:H19"/>
  <sheetViews>
    <sheetView view="pageLayout" zoomScale="130" zoomScaleNormal="134" zoomScalePageLayoutView="130" workbookViewId="0">
      <selection activeCell="G14" sqref="G14:G1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46195</v>
      </c>
      <c r="C2" s="23">
        <f t="shared" ref="C2:H2" si="0">B2+1</f>
        <v>46196</v>
      </c>
      <c r="D2" s="23">
        <f t="shared" si="0"/>
        <v>46197</v>
      </c>
      <c r="E2" s="23">
        <f t="shared" si="0"/>
        <v>46198</v>
      </c>
      <c r="F2" s="23">
        <f t="shared" si="0"/>
        <v>46199</v>
      </c>
      <c r="G2" s="23">
        <f t="shared" si="0"/>
        <v>46200</v>
      </c>
      <c r="H2" s="23">
        <f t="shared" si="0"/>
        <v>46201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121</v>
      </c>
      <c r="D4" s="34" t="s">
        <v>120</v>
      </c>
      <c r="E4" s="34" t="s">
        <v>120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13</v>
      </c>
      <c r="C5" s="8" t="s">
        <v>15</v>
      </c>
      <c r="D5" s="8" t="s">
        <v>14</v>
      </c>
      <c r="E5" s="8" t="s">
        <v>14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214</v>
      </c>
      <c r="C6" s="19" t="s">
        <v>57</v>
      </c>
      <c r="D6" s="19" t="s">
        <v>215</v>
      </c>
      <c r="E6" s="19" t="s">
        <v>219</v>
      </c>
      <c r="F6" s="19" t="s">
        <v>214</v>
      </c>
      <c r="G6" s="21"/>
      <c r="H6" s="19" t="s">
        <v>223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210</v>
      </c>
      <c r="C9" s="89"/>
      <c r="D9" s="89" t="s">
        <v>217</v>
      </c>
      <c r="E9" s="68"/>
      <c r="F9" s="89" t="s">
        <v>217</v>
      </c>
      <c r="G9" s="104"/>
      <c r="H9" s="89" t="s">
        <v>57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109</v>
      </c>
      <c r="C12" s="29" t="s">
        <v>36</v>
      </c>
      <c r="D12" s="29" t="s">
        <v>96</v>
      </c>
      <c r="E12" s="29" t="s">
        <v>222</v>
      </c>
      <c r="F12" s="29" t="s">
        <v>125</v>
      </c>
      <c r="G12" s="29" t="s">
        <v>40</v>
      </c>
      <c r="H12" s="30" t="s">
        <v>40</v>
      </c>
    </row>
    <row r="13" spans="1:8" ht="55.5" customHeight="1" thickBot="1" x14ac:dyDescent="0.3">
      <c r="A13" s="31" t="s">
        <v>105</v>
      </c>
      <c r="B13" s="32" t="s">
        <v>215</v>
      </c>
      <c r="C13" s="32" t="s">
        <v>214</v>
      </c>
      <c r="D13" s="32" t="s">
        <v>219</v>
      </c>
      <c r="E13" s="32" t="s">
        <v>214</v>
      </c>
      <c r="F13" s="32" t="s">
        <v>219</v>
      </c>
      <c r="G13" s="32" t="s">
        <v>223</v>
      </c>
      <c r="H13" s="33" t="s">
        <v>42</v>
      </c>
    </row>
    <row r="14" spans="1:8" ht="22.5" customHeight="1" x14ac:dyDescent="0.25">
      <c r="A14" s="74" t="s">
        <v>29</v>
      </c>
      <c r="B14" s="77" t="s">
        <v>202</v>
      </c>
      <c r="C14" s="80"/>
      <c r="D14" s="80"/>
      <c r="E14" s="128" t="s">
        <v>221</v>
      </c>
      <c r="F14" s="77"/>
      <c r="G14" s="128" t="s">
        <v>220</v>
      </c>
      <c r="H14" s="129"/>
    </row>
    <row r="15" spans="1:8" ht="18" customHeight="1" x14ac:dyDescent="0.25">
      <c r="A15" s="75"/>
      <c r="B15" s="78"/>
      <c r="C15" s="81"/>
      <c r="D15" s="81"/>
      <c r="E15" s="69"/>
      <c r="F15" s="78"/>
      <c r="G15" s="99"/>
      <c r="H15" s="130"/>
    </row>
    <row r="16" spans="1:8" ht="7.5" hidden="1" customHeight="1" x14ac:dyDescent="0.25">
      <c r="A16" s="76"/>
      <c r="B16" s="79"/>
      <c r="C16" s="82"/>
      <c r="D16" s="82"/>
      <c r="E16" s="103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218</v>
      </c>
      <c r="D17" s="64"/>
      <c r="E17" s="64"/>
      <c r="F17" s="62" t="s">
        <v>223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F17:F18"/>
    <mergeCell ref="G17:G18"/>
    <mergeCell ref="H17:H18"/>
    <mergeCell ref="A17:A18"/>
    <mergeCell ref="B17:B18"/>
    <mergeCell ref="C17:C18"/>
    <mergeCell ref="D17:D18"/>
    <mergeCell ref="E17:E18"/>
    <mergeCell ref="E9:E11"/>
    <mergeCell ref="F9:F11"/>
    <mergeCell ref="G9:G11"/>
    <mergeCell ref="H9:H11"/>
    <mergeCell ref="A14:A16"/>
    <mergeCell ref="B14:B16"/>
    <mergeCell ref="D14:D16"/>
    <mergeCell ref="E14:E16"/>
    <mergeCell ref="F14:F16"/>
    <mergeCell ref="D9:D11"/>
    <mergeCell ref="C14:C16"/>
    <mergeCell ref="G14:G16"/>
    <mergeCell ref="H14:H16"/>
    <mergeCell ref="A1:A2"/>
    <mergeCell ref="A4:A6"/>
    <mergeCell ref="A7:A11"/>
    <mergeCell ref="B9:B11"/>
    <mergeCell ref="C9:C11"/>
  </mergeCells>
  <phoneticPr fontId="12" type="noConversion"/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26
&amp;"Cera ROB Regular,Fett"&amp;10&amp;K00+000
</oddHeader>
    <oddFooter>&amp;Rstand &amp;"-,Fett"&amp;D&amp;"-,Standard"
Änderungen vorbehalten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AEE4-5F5D-4091-9FA9-3F67DF29EE65}">
  <dimension ref="A1:H19"/>
  <sheetViews>
    <sheetView view="pageLayout" zoomScale="130" zoomScaleNormal="134" zoomScalePageLayoutView="130" workbookViewId="0">
      <selection activeCell="F4" sqref="F4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46202</v>
      </c>
      <c r="C2" s="23">
        <f t="shared" ref="C2:H2" si="0">B2+1</f>
        <v>46203</v>
      </c>
      <c r="D2" s="23">
        <f t="shared" si="0"/>
        <v>46204</v>
      </c>
      <c r="E2" s="23">
        <f t="shared" si="0"/>
        <v>46205</v>
      </c>
      <c r="F2" s="23">
        <f t="shared" si="0"/>
        <v>46206</v>
      </c>
      <c r="G2" s="23">
        <f t="shared" si="0"/>
        <v>46207</v>
      </c>
      <c r="H2" s="23">
        <f t="shared" si="0"/>
        <v>46208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219</v>
      </c>
      <c r="C6" s="19" t="s">
        <v>223</v>
      </c>
      <c r="D6" s="19" t="s">
        <v>42</v>
      </c>
      <c r="E6" s="19" t="s">
        <v>225</v>
      </c>
      <c r="F6" s="19" t="s">
        <v>223</v>
      </c>
      <c r="G6" s="21"/>
      <c r="H6" s="19" t="s">
        <v>42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225</v>
      </c>
      <c r="C9" s="89"/>
      <c r="D9" s="89" t="s">
        <v>225</v>
      </c>
      <c r="E9" s="68"/>
      <c r="F9" s="89" t="s">
        <v>57</v>
      </c>
      <c r="G9" s="104"/>
      <c r="H9" s="89" t="s">
        <v>228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224</v>
      </c>
      <c r="C12" s="29" t="s">
        <v>51</v>
      </c>
      <c r="D12" s="29" t="s">
        <v>112</v>
      </c>
      <c r="E12" s="29" t="s">
        <v>38</v>
      </c>
      <c r="F12" s="29" t="s">
        <v>95</v>
      </c>
      <c r="G12" s="29" t="s">
        <v>229</v>
      </c>
      <c r="H12" s="30" t="s">
        <v>126</v>
      </c>
    </row>
    <row r="13" spans="1:8" ht="55.5" customHeight="1" thickBot="1" x14ac:dyDescent="0.3">
      <c r="A13" s="31" t="s">
        <v>105</v>
      </c>
      <c r="B13" s="32" t="s">
        <v>223</v>
      </c>
      <c r="C13" s="32" t="s">
        <v>101</v>
      </c>
      <c r="D13" s="32" t="s">
        <v>219</v>
      </c>
      <c r="E13" s="32" t="s">
        <v>42</v>
      </c>
      <c r="F13" s="32" t="s">
        <v>226</v>
      </c>
      <c r="G13" s="32" t="s">
        <v>42</v>
      </c>
      <c r="H13" s="33" t="s">
        <v>227</v>
      </c>
    </row>
    <row r="14" spans="1:8" ht="22.5" customHeight="1" x14ac:dyDescent="0.25">
      <c r="A14" s="74" t="s">
        <v>29</v>
      </c>
      <c r="B14" s="77"/>
      <c r="C14" s="77" t="s">
        <v>202</v>
      </c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219</v>
      </c>
      <c r="D17" s="64"/>
      <c r="E17" s="64"/>
      <c r="F17" s="62" t="s">
        <v>101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27
&amp;"Cera ROB Regular,Fett"&amp;10&amp;K00+000
</oddHeader>
    <oddFooter>&amp;Rstand &amp;"-,Fett"&amp;D&amp;"-,Standard"
Änderungen vorbehalten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81F4-7F88-48B1-8E82-F0013565C15D}">
  <dimension ref="A1:H19"/>
  <sheetViews>
    <sheetView view="pageLayout" topLeftCell="A4" zoomScale="130" zoomScaleNormal="134" zoomScalePageLayoutView="130" workbookViewId="0">
      <selection activeCell="F9" sqref="F9:F11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46209</v>
      </c>
      <c r="C2" s="23">
        <f t="shared" ref="C2:H2" si="0">B2+1</f>
        <v>46210</v>
      </c>
      <c r="D2" s="23">
        <f t="shared" si="0"/>
        <v>46211</v>
      </c>
      <c r="E2" s="23">
        <f t="shared" si="0"/>
        <v>46212</v>
      </c>
      <c r="F2" s="23">
        <f t="shared" si="0"/>
        <v>46213</v>
      </c>
      <c r="G2" s="23">
        <f t="shared" si="0"/>
        <v>46214</v>
      </c>
      <c r="H2" s="23">
        <f t="shared" si="0"/>
        <v>46215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56</v>
      </c>
      <c r="F3" s="25"/>
      <c r="G3" s="143" t="s">
        <v>235</v>
      </c>
      <c r="H3" s="144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145"/>
      <c r="H4" s="145"/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145"/>
      <c r="H5" s="145"/>
    </row>
    <row r="6" spans="1:8" ht="24" customHeight="1" thickBot="1" x14ac:dyDescent="0.3">
      <c r="A6" s="59"/>
      <c r="B6" s="19" t="s">
        <v>231</v>
      </c>
      <c r="C6" s="19" t="s">
        <v>42</v>
      </c>
      <c r="D6" s="19" t="s">
        <v>223</v>
      </c>
      <c r="E6" s="19" t="s">
        <v>232</v>
      </c>
      <c r="F6" s="19" t="s">
        <v>42</v>
      </c>
      <c r="G6" s="145"/>
      <c r="H6" s="145"/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145"/>
      <c r="H7" s="145"/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145"/>
      <c r="H8" s="145"/>
    </row>
    <row r="9" spans="1:8" ht="18" customHeight="1" x14ac:dyDescent="0.25">
      <c r="A9" s="75"/>
      <c r="B9" s="89" t="s">
        <v>232</v>
      </c>
      <c r="C9" s="89"/>
      <c r="D9" s="89" t="s">
        <v>57</v>
      </c>
      <c r="E9" s="68"/>
      <c r="F9" s="89" t="s">
        <v>57</v>
      </c>
      <c r="G9" s="145"/>
      <c r="H9" s="145"/>
    </row>
    <row r="10" spans="1:8" ht="20.25" customHeight="1" x14ac:dyDescent="0.25">
      <c r="A10" s="75"/>
      <c r="B10" s="81"/>
      <c r="C10" s="81"/>
      <c r="D10" s="81"/>
      <c r="E10" s="69"/>
      <c r="F10" s="81"/>
      <c r="G10" s="145"/>
      <c r="H10" s="145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45"/>
      <c r="H11" s="145"/>
    </row>
    <row r="12" spans="1:8" ht="22.5" customHeight="1" x14ac:dyDescent="0.25">
      <c r="A12" s="28" t="s">
        <v>104</v>
      </c>
      <c r="B12" s="29" t="s">
        <v>230</v>
      </c>
      <c r="C12" s="29" t="s">
        <v>36</v>
      </c>
      <c r="D12" s="29" t="s">
        <v>96</v>
      </c>
      <c r="E12" s="29" t="s">
        <v>53</v>
      </c>
      <c r="F12" s="29" t="s">
        <v>125</v>
      </c>
      <c r="G12" s="145"/>
      <c r="H12" s="145"/>
    </row>
    <row r="13" spans="1:8" ht="55.5" customHeight="1" thickBot="1" x14ac:dyDescent="0.3">
      <c r="A13" s="31" t="s">
        <v>105</v>
      </c>
      <c r="B13" s="32" t="s">
        <v>42</v>
      </c>
      <c r="C13" s="32" t="s">
        <v>223</v>
      </c>
      <c r="D13" s="32" t="s">
        <v>234</v>
      </c>
      <c r="E13" s="32" t="s">
        <v>42</v>
      </c>
      <c r="F13" s="32" t="s">
        <v>223</v>
      </c>
      <c r="G13" s="145"/>
      <c r="H13" s="145"/>
    </row>
    <row r="14" spans="1:8" ht="22.5" customHeight="1" x14ac:dyDescent="0.25">
      <c r="A14" s="74" t="s">
        <v>29</v>
      </c>
      <c r="B14" s="77"/>
      <c r="C14" s="77" t="s">
        <v>202</v>
      </c>
      <c r="D14" s="80"/>
      <c r="E14" s="83"/>
      <c r="F14" s="77"/>
      <c r="G14" s="145"/>
      <c r="H14" s="145"/>
    </row>
    <row r="15" spans="1:8" ht="18" customHeight="1" x14ac:dyDescent="0.25">
      <c r="A15" s="75"/>
      <c r="B15" s="78"/>
      <c r="C15" s="78"/>
      <c r="D15" s="81"/>
      <c r="E15" s="78"/>
      <c r="F15" s="78"/>
      <c r="G15" s="145"/>
      <c r="H15" s="145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45"/>
      <c r="H16" s="145"/>
    </row>
    <row r="17" spans="1:8" ht="26.25" customHeight="1" x14ac:dyDescent="0.25">
      <c r="A17" s="58" t="s">
        <v>30</v>
      </c>
      <c r="B17" s="60"/>
      <c r="C17" s="62" t="s">
        <v>233</v>
      </c>
      <c r="D17" s="64"/>
      <c r="E17" s="64"/>
      <c r="F17" s="62" t="s">
        <v>234</v>
      </c>
      <c r="G17" s="145"/>
      <c r="H17" s="145"/>
    </row>
    <row r="18" spans="1:8" ht="6" customHeight="1" thickBot="1" x14ac:dyDescent="0.3">
      <c r="A18" s="59"/>
      <c r="B18" s="61"/>
      <c r="C18" s="63"/>
      <c r="D18" s="65"/>
      <c r="E18" s="65"/>
      <c r="F18" s="63"/>
      <c r="G18" s="146"/>
      <c r="H18" s="146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1">
    <mergeCell ref="A1:A2"/>
    <mergeCell ref="A4:A6"/>
    <mergeCell ref="A7:A11"/>
    <mergeCell ref="B9:B11"/>
    <mergeCell ref="C9:C11"/>
    <mergeCell ref="G3:H18"/>
    <mergeCell ref="A17:A18"/>
    <mergeCell ref="B17:B18"/>
    <mergeCell ref="C17:C18"/>
    <mergeCell ref="D17:D18"/>
    <mergeCell ref="E17:E18"/>
    <mergeCell ref="F17:F18"/>
    <mergeCell ref="E9:E11"/>
    <mergeCell ref="F9:F11"/>
    <mergeCell ref="A14:A16"/>
    <mergeCell ref="B14:B16"/>
    <mergeCell ref="C14:C16"/>
    <mergeCell ref="D14:D16"/>
    <mergeCell ref="E14:E16"/>
    <mergeCell ref="F14:F16"/>
    <mergeCell ref="D9:D11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28
&amp;"Cera ROB Regular,Fett"&amp;10&amp;K00+000
</oddHeader>
    <oddFooter>&amp;Rstand &amp;"-,Fett"&amp;D&amp;"-,Standard"
Änderungen vorbehalten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9031-8CF6-4060-BCCC-5A155A8825C0}">
  <dimension ref="A1:H19"/>
  <sheetViews>
    <sheetView view="pageLayout" zoomScale="130" zoomScaleNormal="134" zoomScalePageLayoutView="130" workbookViewId="0">
      <selection activeCell="G13" sqref="G13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46216</v>
      </c>
      <c r="C2" s="23">
        <f t="shared" ref="C2:H2" si="0">B2+1</f>
        <v>46217</v>
      </c>
      <c r="D2" s="23">
        <f t="shared" si="0"/>
        <v>46218</v>
      </c>
      <c r="E2" s="23">
        <f t="shared" si="0"/>
        <v>46219</v>
      </c>
      <c r="F2" s="23">
        <f t="shared" si="0"/>
        <v>46220</v>
      </c>
      <c r="G2" s="23">
        <f t="shared" si="0"/>
        <v>46221</v>
      </c>
      <c r="H2" s="23">
        <f t="shared" si="0"/>
        <v>46222</v>
      </c>
    </row>
    <row r="3" spans="1:8" ht="35.25" customHeight="1" thickBot="1" x14ac:dyDescent="0.3">
      <c r="A3" s="24" t="s">
        <v>8</v>
      </c>
      <c r="B3" s="113" t="s">
        <v>235</v>
      </c>
      <c r="C3" s="114"/>
      <c r="D3" s="114"/>
      <c r="E3" s="114"/>
      <c r="F3" s="115"/>
      <c r="G3" s="25"/>
      <c r="H3" s="27"/>
    </row>
    <row r="4" spans="1:8" ht="21" customHeight="1" x14ac:dyDescent="0.25">
      <c r="A4" s="74" t="s">
        <v>11</v>
      </c>
      <c r="B4" s="116"/>
      <c r="C4" s="117"/>
      <c r="D4" s="117"/>
      <c r="E4" s="117"/>
      <c r="F4" s="118"/>
      <c r="G4" s="35"/>
      <c r="H4" s="36" t="s">
        <v>120</v>
      </c>
    </row>
    <row r="5" spans="1:8" ht="21.75" customHeight="1" x14ac:dyDescent="0.25">
      <c r="A5" s="75"/>
      <c r="B5" s="116"/>
      <c r="C5" s="117"/>
      <c r="D5" s="117"/>
      <c r="E5" s="117"/>
      <c r="F5" s="118"/>
      <c r="G5" s="8"/>
      <c r="H5" s="18" t="s">
        <v>14</v>
      </c>
    </row>
    <row r="6" spans="1:8" ht="24" customHeight="1" thickBot="1" x14ac:dyDescent="0.3">
      <c r="A6" s="59"/>
      <c r="B6" s="116"/>
      <c r="C6" s="117"/>
      <c r="D6" s="117"/>
      <c r="E6" s="117"/>
      <c r="F6" s="118"/>
      <c r="G6" s="21"/>
      <c r="H6" s="22" t="s">
        <v>80</v>
      </c>
    </row>
    <row r="7" spans="1:8" ht="21.75" customHeight="1" x14ac:dyDescent="0.25">
      <c r="A7" s="74" t="s">
        <v>18</v>
      </c>
      <c r="B7" s="116"/>
      <c r="C7" s="117"/>
      <c r="D7" s="117"/>
      <c r="E7" s="117"/>
      <c r="F7" s="118"/>
      <c r="G7" s="35"/>
      <c r="H7" s="36" t="s">
        <v>108</v>
      </c>
    </row>
    <row r="8" spans="1:8" ht="21.75" customHeight="1" x14ac:dyDescent="0.25">
      <c r="A8" s="75"/>
      <c r="B8" s="116"/>
      <c r="C8" s="117"/>
      <c r="D8" s="117"/>
      <c r="E8" s="117"/>
      <c r="F8" s="118"/>
      <c r="G8" s="37"/>
      <c r="H8" s="39" t="s">
        <v>106</v>
      </c>
    </row>
    <row r="9" spans="1:8" ht="18" customHeight="1" x14ac:dyDescent="0.25">
      <c r="A9" s="75"/>
      <c r="B9" s="116"/>
      <c r="C9" s="117"/>
      <c r="D9" s="117"/>
      <c r="E9" s="117"/>
      <c r="F9" s="118"/>
      <c r="G9" s="104"/>
      <c r="H9" s="125" t="s">
        <v>9</v>
      </c>
    </row>
    <row r="10" spans="1:8" ht="20.25" customHeight="1" x14ac:dyDescent="0.25">
      <c r="A10" s="75"/>
      <c r="B10" s="116"/>
      <c r="C10" s="117"/>
      <c r="D10" s="117"/>
      <c r="E10" s="117"/>
      <c r="F10" s="118"/>
      <c r="G10" s="105"/>
      <c r="H10" s="126"/>
    </row>
    <row r="11" spans="1:8" ht="15.75" customHeight="1" thickBot="1" x14ac:dyDescent="0.3">
      <c r="A11" s="59"/>
      <c r="B11" s="116"/>
      <c r="C11" s="117"/>
      <c r="D11" s="117"/>
      <c r="E11" s="117"/>
      <c r="F11" s="118"/>
      <c r="G11" s="124"/>
      <c r="H11" s="127"/>
    </row>
    <row r="12" spans="1:8" ht="22.5" customHeight="1" x14ac:dyDescent="0.25">
      <c r="A12" s="28" t="s">
        <v>104</v>
      </c>
      <c r="B12" s="116"/>
      <c r="C12" s="117"/>
      <c r="D12" s="117"/>
      <c r="E12" s="117"/>
      <c r="F12" s="118"/>
      <c r="G12" s="29" t="s">
        <v>40</v>
      </c>
      <c r="H12" s="30" t="s">
        <v>74</v>
      </c>
    </row>
    <row r="13" spans="1:8" ht="35.25" customHeight="1" thickBot="1" x14ac:dyDescent="0.3">
      <c r="A13" s="31" t="s">
        <v>105</v>
      </c>
      <c r="B13" s="116"/>
      <c r="C13" s="117"/>
      <c r="D13" s="117"/>
      <c r="E13" s="117"/>
      <c r="F13" s="118"/>
      <c r="G13" s="32" t="s">
        <v>162</v>
      </c>
      <c r="H13" s="33" t="s">
        <v>236</v>
      </c>
    </row>
    <row r="14" spans="1:8" ht="22.5" customHeight="1" x14ac:dyDescent="0.25">
      <c r="A14" s="74" t="s">
        <v>29</v>
      </c>
      <c r="B14" s="116"/>
      <c r="C14" s="117"/>
      <c r="D14" s="117"/>
      <c r="E14" s="117"/>
      <c r="F14" s="118"/>
      <c r="G14" s="128"/>
      <c r="H14" s="129"/>
    </row>
    <row r="15" spans="1:8" ht="18" customHeight="1" x14ac:dyDescent="0.25">
      <c r="A15" s="75"/>
      <c r="B15" s="116"/>
      <c r="C15" s="117"/>
      <c r="D15" s="117"/>
      <c r="E15" s="117"/>
      <c r="F15" s="118"/>
      <c r="G15" s="99"/>
      <c r="H15" s="130"/>
    </row>
    <row r="16" spans="1:8" ht="7.5" hidden="1" customHeight="1" x14ac:dyDescent="0.25">
      <c r="A16" s="76"/>
      <c r="B16" s="116"/>
      <c r="C16" s="117"/>
      <c r="D16" s="117"/>
      <c r="E16" s="117"/>
      <c r="F16" s="118"/>
      <c r="G16" s="100"/>
      <c r="H16" s="130"/>
    </row>
    <row r="17" spans="1:8" ht="26.25" customHeight="1" x14ac:dyDescent="0.25">
      <c r="A17" s="58" t="s">
        <v>30</v>
      </c>
      <c r="B17" s="116"/>
      <c r="C17" s="117"/>
      <c r="D17" s="117"/>
      <c r="E17" s="117"/>
      <c r="F17" s="118"/>
      <c r="G17" s="131"/>
      <c r="H17" s="131"/>
    </row>
    <row r="18" spans="1:8" ht="6" customHeight="1" thickBot="1" x14ac:dyDescent="0.3">
      <c r="A18" s="59"/>
      <c r="B18" s="116"/>
      <c r="C18" s="117"/>
      <c r="D18" s="117"/>
      <c r="E18" s="117"/>
      <c r="F18" s="118"/>
      <c r="G18" s="131"/>
      <c r="H18" s="131"/>
    </row>
    <row r="19" spans="1:8" x14ac:dyDescent="0.25">
      <c r="A19" s="40"/>
      <c r="B19" s="119"/>
      <c r="C19" s="120"/>
      <c r="D19" s="120"/>
      <c r="E19" s="120"/>
      <c r="F19" s="121"/>
      <c r="G19" s="131"/>
      <c r="H19" s="131"/>
    </row>
  </sheetData>
  <mergeCells count="12">
    <mergeCell ref="G17:G19"/>
    <mergeCell ref="H17:H19"/>
    <mergeCell ref="A1:A2"/>
    <mergeCell ref="B3:F19"/>
    <mergeCell ref="A4:A6"/>
    <mergeCell ref="A7:A11"/>
    <mergeCell ref="G9:G11"/>
    <mergeCell ref="H9:H11"/>
    <mergeCell ref="A14:A16"/>
    <mergeCell ref="G14:G16"/>
    <mergeCell ref="H14:H16"/>
    <mergeCell ref="A17:A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29
&amp;"Cera ROB Regular,Fett"&amp;10&amp;K00+000
</oddHeader>
    <oddFooter>&amp;Rstand &amp;"-,Fett"&amp;D&amp;"-,Standard"
Änderungen vorbehalten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549B-BB9F-497B-914E-98F68132DF37}">
  <dimension ref="A1:H19"/>
  <sheetViews>
    <sheetView view="pageLayout" zoomScale="130" zoomScaleNormal="134" zoomScalePageLayoutView="130" workbookViewId="0">
      <selection activeCell="H6" sqref="H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46223</v>
      </c>
      <c r="C2" s="23">
        <f t="shared" ref="C2:H2" si="0">B2+1</f>
        <v>46224</v>
      </c>
      <c r="D2" s="23">
        <f t="shared" si="0"/>
        <v>46225</v>
      </c>
      <c r="E2" s="23">
        <f t="shared" si="0"/>
        <v>46226</v>
      </c>
      <c r="F2" s="23">
        <f t="shared" si="0"/>
        <v>46227</v>
      </c>
      <c r="G2" s="23">
        <f t="shared" si="0"/>
        <v>46228</v>
      </c>
      <c r="H2" s="23">
        <f t="shared" si="0"/>
        <v>46229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9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236</v>
      </c>
      <c r="C6" s="19" t="s">
        <v>240</v>
      </c>
      <c r="D6" s="19" t="s">
        <v>239</v>
      </c>
      <c r="E6" s="19" t="s">
        <v>241</v>
      </c>
      <c r="F6" s="19" t="s">
        <v>239</v>
      </c>
      <c r="G6" s="21"/>
      <c r="H6" s="19" t="s">
        <v>240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241</v>
      </c>
      <c r="C9" s="89"/>
      <c r="D9" s="89" t="s">
        <v>9</v>
      </c>
      <c r="E9" s="68"/>
      <c r="F9" s="89" t="s">
        <v>57</v>
      </c>
      <c r="G9" s="104"/>
      <c r="H9" s="89" t="s">
        <v>56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238</v>
      </c>
      <c r="C12" s="29" t="s">
        <v>36</v>
      </c>
      <c r="D12" s="29" t="s">
        <v>237</v>
      </c>
      <c r="E12" s="29" t="s">
        <v>88</v>
      </c>
      <c r="F12" s="29" t="s">
        <v>125</v>
      </c>
      <c r="G12" s="29" t="s">
        <v>40</v>
      </c>
      <c r="H12" s="30" t="s">
        <v>40</v>
      </c>
    </row>
    <row r="13" spans="1:8" ht="55.5" customHeight="1" thickBot="1" x14ac:dyDescent="0.3">
      <c r="A13" s="31" t="s">
        <v>105</v>
      </c>
      <c r="B13" s="32" t="s">
        <v>240</v>
      </c>
      <c r="C13" s="32" t="s">
        <v>236</v>
      </c>
      <c r="D13" s="32" t="s">
        <v>240</v>
      </c>
      <c r="E13" s="32" t="s">
        <v>242</v>
      </c>
      <c r="F13" s="33" t="s">
        <v>239</v>
      </c>
      <c r="G13" s="33" t="s">
        <v>240</v>
      </c>
      <c r="H13" s="33" t="s">
        <v>239</v>
      </c>
    </row>
    <row r="14" spans="1:8" ht="22.5" customHeight="1" x14ac:dyDescent="0.25">
      <c r="A14" s="74" t="s">
        <v>29</v>
      </c>
      <c r="B14" s="77"/>
      <c r="C14" s="77" t="s">
        <v>202</v>
      </c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80</v>
      </c>
      <c r="D17" s="64"/>
      <c r="E17" s="64"/>
      <c r="F17" s="62" t="s">
        <v>243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A1:A2"/>
    <mergeCell ref="A4:A6"/>
    <mergeCell ref="A7:A11"/>
    <mergeCell ref="B9:B11"/>
    <mergeCell ref="C9:C11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F17:F18"/>
    <mergeCell ref="G17:G18"/>
    <mergeCell ref="H17:H18"/>
    <mergeCell ref="A17:A18"/>
    <mergeCell ref="B17:B18"/>
    <mergeCell ref="C17:C18"/>
    <mergeCell ref="D17:D18"/>
    <mergeCell ref="E17:E18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30
&amp;"Cera ROB Regular,Fett"&amp;10&amp;K00+000
</oddHeader>
    <oddFooter>&amp;Rstand &amp;"-,Fett"&amp;D&amp;"-,Standard"
Änderungen vorbehalten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40D-09A7-4724-B4BD-65681BEE3947}">
  <dimension ref="A1:H19"/>
  <sheetViews>
    <sheetView view="pageLayout" zoomScale="130" zoomScaleNormal="134" zoomScalePageLayoutView="130" workbookViewId="0">
      <selection activeCell="C6" sqref="C6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46230</v>
      </c>
      <c r="C2" s="23">
        <f t="shared" ref="C2:H2" si="0">B2+1</f>
        <v>46231</v>
      </c>
      <c r="D2" s="23">
        <f t="shared" si="0"/>
        <v>46232</v>
      </c>
      <c r="E2" s="23">
        <f t="shared" si="0"/>
        <v>46233</v>
      </c>
      <c r="F2" s="23">
        <f t="shared" si="0"/>
        <v>46234</v>
      </c>
      <c r="G2" s="23">
        <f t="shared" si="0"/>
        <v>46235</v>
      </c>
      <c r="H2" s="23">
        <f t="shared" si="0"/>
        <v>46236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9</v>
      </c>
      <c r="F3" s="25"/>
      <c r="G3" s="25"/>
      <c r="H3" s="27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34" t="s">
        <v>120</v>
      </c>
      <c r="G4" s="35"/>
      <c r="H4" s="34" t="s">
        <v>120</v>
      </c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18" t="s">
        <v>14</v>
      </c>
      <c r="G5" s="8"/>
      <c r="H5" s="18" t="s">
        <v>14</v>
      </c>
    </row>
    <row r="6" spans="1:8" ht="24" customHeight="1" thickBot="1" x14ac:dyDescent="0.3">
      <c r="A6" s="59"/>
      <c r="B6" s="19" t="s">
        <v>80</v>
      </c>
      <c r="C6" s="19" t="s">
        <v>247</v>
      </c>
      <c r="D6" s="19" t="s">
        <v>248</v>
      </c>
      <c r="E6" s="19" t="s">
        <v>57</v>
      </c>
      <c r="F6" s="19" t="s">
        <v>247</v>
      </c>
      <c r="G6" s="21"/>
      <c r="H6" s="19" t="s">
        <v>80</v>
      </c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34" t="s">
        <v>108</v>
      </c>
      <c r="G7" s="35" t="s">
        <v>135</v>
      </c>
      <c r="H7" s="36" t="s">
        <v>108</v>
      </c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38" t="s">
        <v>107</v>
      </c>
      <c r="G8" s="37"/>
      <c r="H8" s="39" t="s">
        <v>106</v>
      </c>
    </row>
    <row r="9" spans="1:8" ht="18" customHeight="1" x14ac:dyDescent="0.25">
      <c r="A9" s="75"/>
      <c r="B9" s="89" t="s">
        <v>57</v>
      </c>
      <c r="C9" s="89"/>
      <c r="D9" s="89" t="s">
        <v>244</v>
      </c>
      <c r="E9" s="68"/>
      <c r="F9" s="89" t="s">
        <v>245</v>
      </c>
      <c r="G9" s="104"/>
      <c r="H9" s="89" t="s">
        <v>56</v>
      </c>
    </row>
    <row r="10" spans="1:8" ht="20.25" customHeight="1" x14ac:dyDescent="0.25">
      <c r="A10" s="75"/>
      <c r="B10" s="81"/>
      <c r="C10" s="81"/>
      <c r="D10" s="81"/>
      <c r="E10" s="69"/>
      <c r="F10" s="81"/>
      <c r="G10" s="105"/>
      <c r="H10" s="81"/>
    </row>
    <row r="11" spans="1:8" ht="15.75" customHeight="1" thickBot="1" x14ac:dyDescent="0.3">
      <c r="A11" s="59"/>
      <c r="B11" s="90"/>
      <c r="C11" s="90"/>
      <c r="D11" s="90"/>
      <c r="E11" s="70"/>
      <c r="F11" s="90"/>
      <c r="G11" s="124"/>
      <c r="H11" s="90"/>
    </row>
    <row r="12" spans="1:8" ht="22.5" customHeight="1" x14ac:dyDescent="0.25">
      <c r="A12" s="28" t="s">
        <v>104</v>
      </c>
      <c r="B12" s="29" t="s">
        <v>95</v>
      </c>
      <c r="C12" s="29" t="s">
        <v>51</v>
      </c>
      <c r="D12" s="29" t="s">
        <v>133</v>
      </c>
      <c r="E12" s="29" t="s">
        <v>246</v>
      </c>
      <c r="F12" s="29" t="s">
        <v>116</v>
      </c>
      <c r="G12" s="29" t="s">
        <v>40</v>
      </c>
      <c r="H12" s="30" t="s">
        <v>40</v>
      </c>
    </row>
    <row r="13" spans="1:8" ht="55.5" customHeight="1" thickBot="1" x14ac:dyDescent="0.3">
      <c r="A13" s="31" t="s">
        <v>105</v>
      </c>
      <c r="B13" s="32" t="s">
        <v>248</v>
      </c>
      <c r="C13" s="32" t="s">
        <v>80</v>
      </c>
      <c r="D13" s="32" t="s">
        <v>247</v>
      </c>
      <c r="E13" s="32" t="s">
        <v>248</v>
      </c>
      <c r="F13" s="33" t="s">
        <v>80</v>
      </c>
      <c r="G13" s="33" t="s">
        <v>247</v>
      </c>
      <c r="H13" s="33" t="s">
        <v>248</v>
      </c>
    </row>
    <row r="14" spans="1:8" ht="22.5" customHeight="1" x14ac:dyDescent="0.25">
      <c r="A14" s="74" t="s">
        <v>29</v>
      </c>
      <c r="B14" s="77"/>
      <c r="C14" s="77" t="s">
        <v>202</v>
      </c>
      <c r="D14" s="80"/>
      <c r="E14" s="83"/>
      <c r="F14" s="77"/>
      <c r="G14" s="128"/>
      <c r="H14" s="129"/>
    </row>
    <row r="15" spans="1:8" ht="18" customHeight="1" x14ac:dyDescent="0.25">
      <c r="A15" s="75"/>
      <c r="B15" s="78"/>
      <c r="C15" s="78"/>
      <c r="D15" s="81"/>
      <c r="E15" s="78"/>
      <c r="F15" s="78"/>
      <c r="G15" s="99"/>
      <c r="H15" s="130"/>
    </row>
    <row r="16" spans="1:8" ht="7.5" hidden="1" customHeight="1" x14ac:dyDescent="0.25">
      <c r="A16" s="76"/>
      <c r="B16" s="79"/>
      <c r="C16" s="79"/>
      <c r="D16" s="82"/>
      <c r="E16" s="79"/>
      <c r="F16" s="79"/>
      <c r="G16" s="100"/>
      <c r="H16" s="130"/>
    </row>
    <row r="17" spans="1:8" ht="26.25" customHeight="1" x14ac:dyDescent="0.25">
      <c r="A17" s="58" t="s">
        <v>30</v>
      </c>
      <c r="B17" s="60"/>
      <c r="C17" s="62" t="s">
        <v>249</v>
      </c>
      <c r="D17" s="64"/>
      <c r="E17" s="64"/>
      <c r="F17" s="62" t="s">
        <v>249</v>
      </c>
      <c r="G17" s="91"/>
      <c r="H17" s="122"/>
    </row>
    <row r="18" spans="1:8" ht="6" customHeight="1" thickBot="1" x14ac:dyDescent="0.3">
      <c r="A18" s="59"/>
      <c r="B18" s="61"/>
      <c r="C18" s="63"/>
      <c r="D18" s="65"/>
      <c r="E18" s="65"/>
      <c r="F18" s="63"/>
      <c r="G18" s="92"/>
      <c r="H18" s="123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6">
    <mergeCell ref="F17:F18"/>
    <mergeCell ref="G17:G18"/>
    <mergeCell ref="H17:H18"/>
    <mergeCell ref="A17:A18"/>
    <mergeCell ref="B17:B18"/>
    <mergeCell ref="C17:C18"/>
    <mergeCell ref="D17:D18"/>
    <mergeCell ref="E17:E18"/>
    <mergeCell ref="E9:E11"/>
    <mergeCell ref="F9:F11"/>
    <mergeCell ref="G9:G11"/>
    <mergeCell ref="H9:H11"/>
    <mergeCell ref="A14:A16"/>
    <mergeCell ref="B14:B16"/>
    <mergeCell ref="C14:C16"/>
    <mergeCell ref="D14:D16"/>
    <mergeCell ref="E14:E16"/>
    <mergeCell ref="F14:F16"/>
    <mergeCell ref="D9:D11"/>
    <mergeCell ref="G14:G16"/>
    <mergeCell ref="H14:H16"/>
    <mergeCell ref="A1:A2"/>
    <mergeCell ref="A4:A6"/>
    <mergeCell ref="A7:A11"/>
    <mergeCell ref="B9:B11"/>
    <mergeCell ref="C9:C11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31
&amp;"Cera ROB Regular,Fett"&amp;10&amp;K00+000
</oddHeader>
    <oddFooter>&amp;Rstand &amp;"-,Fett"&amp;D&amp;"-,Standard"
Änderungen vorbehalten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1C3A-9C69-42A5-924F-852F2D0C1252}">
  <dimension ref="A1:H19"/>
  <sheetViews>
    <sheetView tabSelected="1" view="pageLayout" zoomScale="130" zoomScaleNormal="134" zoomScalePageLayoutView="130" workbookViewId="0">
      <selection activeCell="C17" sqref="C17:C18"/>
    </sheetView>
  </sheetViews>
  <sheetFormatPr baseColWidth="10" defaultColWidth="11" defaultRowHeight="15.75" x14ac:dyDescent="0.25"/>
  <cols>
    <col min="1" max="1" width="18" style="2" customWidth="1"/>
    <col min="2" max="3" width="14.125" style="2" customWidth="1"/>
    <col min="4" max="4" width="13.5" style="2" customWidth="1"/>
    <col min="5" max="5" width="15" style="2" customWidth="1"/>
    <col min="6" max="6" width="14" style="2" customWidth="1"/>
    <col min="7" max="7" width="13.25" style="2" customWidth="1"/>
    <col min="8" max="8" width="16.375" style="2" customWidth="1"/>
    <col min="9" max="16384" width="11" style="2"/>
  </cols>
  <sheetData>
    <row r="1" spans="1:8" ht="21" customHeight="1" x14ac:dyDescent="0.25">
      <c r="A1" s="87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thickBot="1" x14ac:dyDescent="0.3">
      <c r="A2" s="88"/>
      <c r="B2" s="23">
        <v>46237</v>
      </c>
      <c r="C2" s="23">
        <f t="shared" ref="C2:H2" si="0">B2+1</f>
        <v>46238</v>
      </c>
      <c r="D2" s="23">
        <f t="shared" si="0"/>
        <v>46239</v>
      </c>
      <c r="E2" s="23">
        <f t="shared" si="0"/>
        <v>46240</v>
      </c>
      <c r="F2" s="23">
        <f t="shared" si="0"/>
        <v>46241</v>
      </c>
      <c r="G2" s="23">
        <f t="shared" si="0"/>
        <v>46242</v>
      </c>
      <c r="H2" s="23">
        <f t="shared" si="0"/>
        <v>46243</v>
      </c>
    </row>
    <row r="3" spans="1:8" ht="35.25" customHeight="1" thickBot="1" x14ac:dyDescent="0.3">
      <c r="A3" s="24" t="s">
        <v>8</v>
      </c>
      <c r="B3" s="26" t="s">
        <v>9</v>
      </c>
      <c r="C3" s="25"/>
      <c r="D3" s="25"/>
      <c r="E3" s="26" t="s">
        <v>9</v>
      </c>
      <c r="F3" s="44"/>
      <c r="G3" s="52" t="s">
        <v>250</v>
      </c>
      <c r="H3" s="53"/>
    </row>
    <row r="4" spans="1:8" ht="21" customHeight="1" x14ac:dyDescent="0.25">
      <c r="A4" s="74" t="s">
        <v>11</v>
      </c>
      <c r="B4" s="34" t="s">
        <v>120</v>
      </c>
      <c r="C4" s="34" t="s">
        <v>120</v>
      </c>
      <c r="D4" s="34" t="s">
        <v>120</v>
      </c>
      <c r="E4" s="34" t="s">
        <v>121</v>
      </c>
      <c r="F4" s="45" t="s">
        <v>120</v>
      </c>
      <c r="G4" s="54"/>
      <c r="H4" s="55"/>
    </row>
    <row r="5" spans="1:8" ht="21.75" customHeight="1" x14ac:dyDescent="0.25">
      <c r="A5" s="75"/>
      <c r="B5" s="8" t="s">
        <v>14</v>
      </c>
      <c r="C5" s="8" t="s">
        <v>13</v>
      </c>
      <c r="D5" s="8" t="s">
        <v>14</v>
      </c>
      <c r="E5" s="8" t="s">
        <v>15</v>
      </c>
      <c r="F5" s="46" t="s">
        <v>14</v>
      </c>
      <c r="G5" s="54"/>
      <c r="H5" s="55"/>
    </row>
    <row r="6" spans="1:8" ht="24" customHeight="1" thickBot="1" x14ac:dyDescent="0.3">
      <c r="A6" s="59"/>
      <c r="B6" s="19" t="s">
        <v>251</v>
      </c>
      <c r="C6" s="19" t="s">
        <v>251</v>
      </c>
      <c r="D6" s="19" t="s">
        <v>247</v>
      </c>
      <c r="E6" s="19" t="s">
        <v>245</v>
      </c>
      <c r="F6" s="47" t="s">
        <v>80</v>
      </c>
      <c r="G6" s="54"/>
      <c r="H6" s="55"/>
    </row>
    <row r="7" spans="1:8" ht="21.75" customHeight="1" x14ac:dyDescent="0.25">
      <c r="A7" s="74" t="s">
        <v>18</v>
      </c>
      <c r="B7" s="34" t="s">
        <v>108</v>
      </c>
      <c r="C7" s="34" t="s">
        <v>135</v>
      </c>
      <c r="D7" s="34" t="s">
        <v>108</v>
      </c>
      <c r="E7" s="34" t="s">
        <v>135</v>
      </c>
      <c r="F7" s="45" t="s">
        <v>108</v>
      </c>
      <c r="G7" s="54"/>
      <c r="H7" s="55"/>
    </row>
    <row r="8" spans="1:8" ht="21.75" customHeight="1" x14ac:dyDescent="0.25">
      <c r="A8" s="75"/>
      <c r="B8" s="38" t="s">
        <v>107</v>
      </c>
      <c r="C8" s="17"/>
      <c r="D8" s="38" t="s">
        <v>106</v>
      </c>
      <c r="E8" s="17"/>
      <c r="F8" s="48" t="s">
        <v>107</v>
      </c>
      <c r="G8" s="54"/>
      <c r="H8" s="55"/>
    </row>
    <row r="9" spans="1:8" ht="18" customHeight="1" x14ac:dyDescent="0.25">
      <c r="A9" s="75"/>
      <c r="B9" s="89" t="s">
        <v>245</v>
      </c>
      <c r="C9" s="89"/>
      <c r="D9" s="89" t="s">
        <v>57</v>
      </c>
      <c r="E9" s="68"/>
      <c r="F9" s="71" t="s">
        <v>57</v>
      </c>
      <c r="G9" s="54"/>
      <c r="H9" s="55"/>
    </row>
    <row r="10" spans="1:8" ht="20.25" customHeight="1" x14ac:dyDescent="0.25">
      <c r="A10" s="75"/>
      <c r="B10" s="81"/>
      <c r="C10" s="81"/>
      <c r="D10" s="81"/>
      <c r="E10" s="69"/>
      <c r="F10" s="72"/>
      <c r="G10" s="54"/>
      <c r="H10" s="55"/>
    </row>
    <row r="11" spans="1:8" ht="15.75" customHeight="1" thickBot="1" x14ac:dyDescent="0.3">
      <c r="A11" s="59"/>
      <c r="B11" s="90"/>
      <c r="C11" s="90"/>
      <c r="D11" s="90"/>
      <c r="E11" s="70"/>
      <c r="F11" s="73"/>
      <c r="G11" s="54"/>
      <c r="H11" s="55"/>
    </row>
    <row r="12" spans="1:8" ht="22.5" customHeight="1" x14ac:dyDescent="0.25">
      <c r="A12" s="28" t="s">
        <v>104</v>
      </c>
      <c r="B12" s="29" t="s">
        <v>201</v>
      </c>
      <c r="C12" s="29" t="s">
        <v>36</v>
      </c>
      <c r="D12" s="29" t="s">
        <v>96</v>
      </c>
      <c r="E12" s="29" t="s">
        <v>53</v>
      </c>
      <c r="F12" s="49" t="s">
        <v>125</v>
      </c>
      <c r="G12" s="54"/>
      <c r="H12" s="55"/>
    </row>
    <row r="13" spans="1:8" ht="55.5" customHeight="1" thickBot="1" x14ac:dyDescent="0.3">
      <c r="A13" s="31" t="s">
        <v>105</v>
      </c>
      <c r="B13" s="32" t="s">
        <v>247</v>
      </c>
      <c r="C13" s="32" t="s">
        <v>80</v>
      </c>
      <c r="D13" s="32" t="s">
        <v>249</v>
      </c>
      <c r="E13" s="32" t="s">
        <v>251</v>
      </c>
      <c r="F13" s="50" t="s">
        <v>247</v>
      </c>
      <c r="G13" s="54"/>
      <c r="H13" s="55"/>
    </row>
    <row r="14" spans="1:8" ht="22.5" customHeight="1" x14ac:dyDescent="0.25">
      <c r="A14" s="74" t="s">
        <v>29</v>
      </c>
      <c r="B14" s="77"/>
      <c r="C14" s="77"/>
      <c r="D14" s="80"/>
      <c r="E14" s="83"/>
      <c r="F14" s="84"/>
      <c r="G14" s="54"/>
      <c r="H14" s="55"/>
    </row>
    <row r="15" spans="1:8" ht="18" customHeight="1" x14ac:dyDescent="0.25">
      <c r="A15" s="75"/>
      <c r="B15" s="78"/>
      <c r="C15" s="78"/>
      <c r="D15" s="81"/>
      <c r="E15" s="78"/>
      <c r="F15" s="85"/>
      <c r="G15" s="54"/>
      <c r="H15" s="55"/>
    </row>
    <row r="16" spans="1:8" ht="7.5" hidden="1" customHeight="1" x14ac:dyDescent="0.25">
      <c r="A16" s="76"/>
      <c r="B16" s="79"/>
      <c r="C16" s="79"/>
      <c r="D16" s="82"/>
      <c r="E16" s="79"/>
      <c r="F16" s="86"/>
      <c r="G16" s="54"/>
      <c r="H16" s="55"/>
    </row>
    <row r="17" spans="1:8" ht="26.25" customHeight="1" x14ac:dyDescent="0.25">
      <c r="A17" s="58" t="s">
        <v>30</v>
      </c>
      <c r="B17" s="60"/>
      <c r="C17" s="62" t="s">
        <v>247</v>
      </c>
      <c r="D17" s="64"/>
      <c r="E17" s="64"/>
      <c r="F17" s="66" t="s">
        <v>80</v>
      </c>
      <c r="G17" s="54"/>
      <c r="H17" s="55"/>
    </row>
    <row r="18" spans="1:8" ht="6" customHeight="1" thickBot="1" x14ac:dyDescent="0.3">
      <c r="A18" s="59"/>
      <c r="B18" s="61"/>
      <c r="C18" s="63"/>
      <c r="D18" s="65"/>
      <c r="E18" s="65"/>
      <c r="F18" s="67"/>
      <c r="G18" s="56"/>
      <c r="H18" s="57"/>
    </row>
    <row r="19" spans="1:8" x14ac:dyDescent="0.25">
      <c r="A19"/>
      <c r="B19" s="16"/>
      <c r="C19" s="16"/>
      <c r="D19" s="16"/>
      <c r="E19"/>
      <c r="F19"/>
      <c r="G19"/>
      <c r="H19"/>
    </row>
  </sheetData>
  <mergeCells count="21">
    <mergeCell ref="A1:A2"/>
    <mergeCell ref="A4:A6"/>
    <mergeCell ref="A7:A11"/>
    <mergeCell ref="B9:B11"/>
    <mergeCell ref="C9:C11"/>
    <mergeCell ref="G3:H18"/>
    <mergeCell ref="A17:A18"/>
    <mergeCell ref="B17:B18"/>
    <mergeCell ref="C17:C18"/>
    <mergeCell ref="D17:D18"/>
    <mergeCell ref="E17:E18"/>
    <mergeCell ref="F17:F18"/>
    <mergeCell ref="E9:E11"/>
    <mergeCell ref="F9:F11"/>
    <mergeCell ref="A14:A16"/>
    <mergeCell ref="B14:B16"/>
    <mergeCell ref="C14:C16"/>
    <mergeCell ref="D14:D16"/>
    <mergeCell ref="E14:E16"/>
    <mergeCell ref="F14:F16"/>
    <mergeCell ref="D9:D11"/>
  </mergeCells>
  <pageMargins left="0.7" right="0.7" top="2" bottom="0.75" header="0.75" footer="0.3"/>
  <pageSetup paperSize="9" orientation="landscape" r:id="rId1"/>
  <headerFooter>
    <oddHeader xml:space="preserve">&amp;L&amp;"Cera ROB Regular,Fett"&amp;14&amp;K005EB8ROBINSON JANDIA PLAYA&amp;10&amp;K00+000
&amp;36&amp;K005EB8KÜNSTLERPLAN &amp;"Cera ROB Regular,Standard"&amp;16KW 32
&amp;"Cera ROB Regular,Fett"&amp;10&amp;K00+000
</oddHeader>
    <oddFooter>&amp;Rstand &amp;"-,Fett"&amp;D&amp;"-,Standard"
Änderungen vorbehalten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C9B1D70B42C6844903A4E75D476517C" ma:contentTypeVersion="15" ma:contentTypeDescription="Ein neues Dokument erstellen." ma:contentTypeScope="" ma:versionID="3a1663d8319861c904e3d607fe093cc1">
  <xsd:schema xmlns:xsd="http://www.w3.org/2001/XMLSchema" xmlns:xs="http://www.w3.org/2001/XMLSchema" xmlns:p="http://schemas.microsoft.com/office/2006/metadata/properties" xmlns:ns2="f6425f89-2241-48bb-8d65-b848dbad264c" xmlns:ns3="a5595e09-e720-4622-9335-44265153bda5" targetNamespace="http://schemas.microsoft.com/office/2006/metadata/properties" ma:root="true" ma:fieldsID="0d91e306c9fa954ad0ac7bbec7af2e11" ns2:_="" ns3:_="">
    <xsd:import namespace="f6425f89-2241-48bb-8d65-b848dbad264c"/>
    <xsd:import namespace="a5595e09-e720-4622-9335-44265153bd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25f89-2241-48bb-8d65-b848dbad26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b8089e34-835d-4700-8242-4310708c87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95e09-e720-4622-9335-44265153bda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6351934-f54d-48e1-8536-90a62efd5612}" ma:internalName="TaxCatchAll" ma:showField="CatchAllData" ma:web="a5595e09-e720-4622-9335-44265153bd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595e09-e720-4622-9335-44265153bda5" xsi:nil="true"/>
    <lcf76f155ced4ddcb4097134ff3c332f xmlns="f6425f89-2241-48bb-8d65-b848dbad26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61581F-CB6F-40A3-A201-3BCE75FE6E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425f89-2241-48bb-8d65-b848dbad264c"/>
    <ds:schemaRef ds:uri="a5595e09-e720-4622-9335-44265153bd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06F636-BBEA-4BCE-BFFA-AFF886E13E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D4E5CF-878C-433F-8DBA-91D0D28AB0A9}">
  <ds:schemaRefs>
    <ds:schemaRef ds:uri="http://schemas.openxmlformats.org/package/2006/metadata/core-properties"/>
    <ds:schemaRef ds:uri="a5595e09-e720-4622-9335-44265153bda5"/>
    <ds:schemaRef ds:uri="http://purl.org/dc/terms/"/>
    <ds:schemaRef ds:uri="http://purl.org/dc/dcmitype/"/>
    <ds:schemaRef ds:uri="http://purl.org/dc/elements/1.1/"/>
    <ds:schemaRef ds:uri="f6425f89-2241-48bb-8d65-b848dbad264c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31</vt:i4>
      </vt:variant>
    </vt:vector>
  </HeadingPairs>
  <TitlesOfParts>
    <vt:vector size="62" baseType="lpstr">
      <vt:lpstr>KW 51_15.12-21.12</vt:lpstr>
      <vt:lpstr>KW 02_12.01.-18.01</vt:lpstr>
      <vt:lpstr>KW 03_19.01.-25.01</vt:lpstr>
      <vt:lpstr>KW_04_ Jandia Unique</vt:lpstr>
      <vt:lpstr>KW 06_02.02.-08.02</vt:lpstr>
      <vt:lpstr>KW 07_09.02.-15.02</vt:lpstr>
      <vt:lpstr>KW 08_16.02.-22.02</vt:lpstr>
      <vt:lpstr>KW 09_23.02.-01.03</vt:lpstr>
      <vt:lpstr>KW 10_02.03.-08.03</vt:lpstr>
      <vt:lpstr>KW 11_Fact Week</vt:lpstr>
      <vt:lpstr>KW 12_16.03.-22.03</vt:lpstr>
      <vt:lpstr>KW 13_23.03.-29.03</vt:lpstr>
      <vt:lpstr>KW 14_Ostern</vt:lpstr>
      <vt:lpstr>KW 15_06.04.-12.04.</vt:lpstr>
      <vt:lpstr>KW 16_13.04.-19.04.</vt:lpstr>
      <vt:lpstr>KW 17_20.04.-26.04</vt:lpstr>
      <vt:lpstr>KW 18_27.04.-03.05.</vt:lpstr>
      <vt:lpstr>KW 19_04.05.-10.05</vt:lpstr>
      <vt:lpstr>KW 20_11.05.-17.05</vt:lpstr>
      <vt:lpstr>KW 21_18.05.-24.05</vt:lpstr>
      <vt:lpstr>KW 22_25.05.-31.05</vt:lpstr>
      <vt:lpstr>KW 23_01.06.-07.06</vt:lpstr>
      <vt:lpstr>KW 24_FdK</vt:lpstr>
      <vt:lpstr>KW 25_15.06.-21.06</vt:lpstr>
      <vt:lpstr>KW 26_22.06.-28.06</vt:lpstr>
      <vt:lpstr>KW 27_29.06.-05.07</vt:lpstr>
      <vt:lpstr>KW 28_06.07.-12.07</vt:lpstr>
      <vt:lpstr>KW29_13.07-19.07</vt:lpstr>
      <vt:lpstr>KW 30_20.07.-26.07</vt:lpstr>
      <vt:lpstr>KW 31_27.07-.02.08</vt:lpstr>
      <vt:lpstr>KW 32_03.08-.09.08</vt:lpstr>
      <vt:lpstr>'KW 02_12.01.-18.01'!Print_Area</vt:lpstr>
      <vt:lpstr>'KW 03_19.01.-25.01'!Print_Area</vt:lpstr>
      <vt:lpstr>'KW 06_02.02.-08.02'!Print_Area</vt:lpstr>
      <vt:lpstr>'KW 07_09.02.-15.02'!Print_Area</vt:lpstr>
      <vt:lpstr>'KW 08_16.02.-22.02'!Print_Area</vt:lpstr>
      <vt:lpstr>'KW 09_23.02.-01.03'!Print_Area</vt:lpstr>
      <vt:lpstr>'KW 10_02.03.-08.03'!Print_Area</vt:lpstr>
      <vt:lpstr>'KW 11_Fact Week'!Print_Area</vt:lpstr>
      <vt:lpstr>'KW 12_16.03.-22.03'!Print_Area</vt:lpstr>
      <vt:lpstr>'KW 13_23.03.-29.03'!Print_Area</vt:lpstr>
      <vt:lpstr>'KW 14_Ostern'!Print_Area</vt:lpstr>
      <vt:lpstr>'KW 15_06.04.-12.04.'!Print_Area</vt:lpstr>
      <vt:lpstr>'KW 16_13.04.-19.04.'!Print_Area</vt:lpstr>
      <vt:lpstr>'KW 17_20.04.-26.04'!Print_Area</vt:lpstr>
      <vt:lpstr>'KW 18_27.04.-03.05.'!Print_Area</vt:lpstr>
      <vt:lpstr>'KW 19_04.05.-10.05'!Print_Area</vt:lpstr>
      <vt:lpstr>'KW 20_11.05.-17.05'!Print_Area</vt:lpstr>
      <vt:lpstr>'KW 21_18.05.-24.05'!Print_Area</vt:lpstr>
      <vt:lpstr>'KW 22_25.05.-31.05'!Print_Area</vt:lpstr>
      <vt:lpstr>'KW 23_01.06.-07.06'!Print_Area</vt:lpstr>
      <vt:lpstr>'KW 24_FdK'!Print_Area</vt:lpstr>
      <vt:lpstr>'KW 25_15.06.-21.06'!Print_Area</vt:lpstr>
      <vt:lpstr>'KW 26_22.06.-28.06'!Print_Area</vt:lpstr>
      <vt:lpstr>'KW 27_29.06.-05.07'!Print_Area</vt:lpstr>
      <vt:lpstr>'KW 28_06.07.-12.07'!Print_Area</vt:lpstr>
      <vt:lpstr>'KW 30_20.07.-26.07'!Print_Area</vt:lpstr>
      <vt:lpstr>'KW 31_27.07-.02.08'!Print_Area</vt:lpstr>
      <vt:lpstr>'KW 32_03.08-.09.08'!Print_Area</vt:lpstr>
      <vt:lpstr>'KW 51_15.12-21.12'!Print_Area</vt:lpstr>
      <vt:lpstr>'KW_04_ Jandia Unique'!Print_Area</vt:lpstr>
      <vt:lpstr>'KW29_13.07-19.07'!Print_Area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Schwaerzell, Stephanie</dc:creator>
  <cp:lastModifiedBy>Schwaerzell, Stephanie</cp:lastModifiedBy>
  <cp:lastPrinted>2026-07-15T09:36:11Z</cp:lastPrinted>
  <dcterms:created xsi:type="dcterms:W3CDTF">2026-01-01T15:19:19Z</dcterms:created>
  <dcterms:modified xsi:type="dcterms:W3CDTF">2026-07-30T08:16:23Z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0x0101003C9B1D70B42C6844903A4E75D476517C</vt:lpwstr>
  </property>
  <property fmtid="{D5CDD505-2E9C-101B-9397-08002B2CF9AE}" pid="3" name="MediaServiceImageTags">
    <vt:lpwstr/>
  </property>
</Properties>
</file>